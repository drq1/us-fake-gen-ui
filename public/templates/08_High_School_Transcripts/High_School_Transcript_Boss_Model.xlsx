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tting Started" sheetId="1" r:id="rId4"/>
    <sheet state="visible" name="Books" sheetId="2" r:id="rId5"/>
    <sheet state="visible" name="Leadership Roles &amp; Awards" sheetId="3" r:id="rId6"/>
    <sheet state="hidden" name="Kindergarten (Year)" sheetId="4" r:id="rId7"/>
    <sheet state="hidden" name="1st Grade (Year)" sheetId="5" r:id="rId8"/>
    <sheet state="hidden" name="2nd Grade (Year)" sheetId="6" r:id="rId9"/>
    <sheet state="hidden" name="3rd Grade (Year)" sheetId="7" r:id="rId10"/>
    <sheet state="hidden" name="4th Grade (Year)" sheetId="8" r:id="rId11"/>
    <sheet state="hidden" name="5th Grade (Year)" sheetId="9" r:id="rId12"/>
    <sheet state="hidden" name="6th Grade (Year)" sheetId="10" r:id="rId13"/>
    <sheet state="hidden" name="7th Grade (Year)" sheetId="11" r:id="rId14"/>
    <sheet state="hidden" name="8th Grade (Year)" sheetId="12" r:id="rId15"/>
    <sheet state="hidden" name="9th Grade (Year)" sheetId="13" r:id="rId16"/>
    <sheet state="hidden" name="10th Grade (Year)" sheetId="14" r:id="rId17"/>
    <sheet state="hidden" name="11th Grade (Year)" sheetId="15" r:id="rId18"/>
    <sheet state="hidden" name="12th Grade (Year)" sheetId="16" r:id="rId19"/>
    <sheet state="hidden" name="Kindergarten (Semester)" sheetId="17" r:id="rId20"/>
    <sheet state="hidden" name="1st Grade (Semester)" sheetId="18" r:id="rId21"/>
    <sheet state="hidden" name="2nd Grade (Semester)" sheetId="19" r:id="rId22"/>
    <sheet state="hidden" name="3rd Grade (Semester)" sheetId="20" r:id="rId23"/>
    <sheet state="hidden" name="4th Grade (Semester)" sheetId="21" r:id="rId24"/>
    <sheet state="hidden" name="5th Grade (Semester)" sheetId="22" r:id="rId25"/>
    <sheet state="hidden" name="6th Grade (Semester)" sheetId="23" r:id="rId26"/>
    <sheet state="hidden" name="7th Grade (Semester)" sheetId="24" r:id="rId27"/>
    <sheet state="hidden" name="8th Grade (Semester)" sheetId="25" r:id="rId28"/>
    <sheet state="hidden" name="9th Grade (Semester)" sheetId="26" r:id="rId29"/>
    <sheet state="hidden" name="10th Grade (Semester)" sheetId="27" r:id="rId30"/>
    <sheet state="hidden" name="11th Grade (Semester)" sheetId="28" r:id="rId31"/>
    <sheet state="hidden" name="12th Grade (Semester)" sheetId="29" r:id="rId32"/>
    <sheet state="hidden" name="Kindergarten (Trimester)" sheetId="30" r:id="rId33"/>
    <sheet state="hidden" name="1st Grade (Trimester)" sheetId="31" r:id="rId34"/>
    <sheet state="hidden" name="2nd Grade (Trimester)" sheetId="32" r:id="rId35"/>
    <sheet state="hidden" name="3rd Grade (Trimester)" sheetId="33" r:id="rId36"/>
    <sheet state="hidden" name="4th Grade (Trimester)" sheetId="34" r:id="rId37"/>
    <sheet state="hidden" name="5th Grade (Trimester)" sheetId="35" r:id="rId38"/>
    <sheet state="hidden" name="6th Grade (Trimester)" sheetId="36" r:id="rId39"/>
    <sheet state="hidden" name="7th Grade (Trimester)" sheetId="37" r:id="rId40"/>
    <sheet state="hidden" name="8th Grade (Trimester)" sheetId="38" r:id="rId41"/>
    <sheet state="hidden" name="9th Grade (Trimester)" sheetId="39" r:id="rId42"/>
    <sheet state="hidden" name="10th Grade (Trimester)" sheetId="40" r:id="rId43"/>
    <sheet state="hidden" name="11th Grade (Trimester)" sheetId="41" r:id="rId44"/>
    <sheet state="hidden" name="12th Grade (Trimester)" sheetId="42" r:id="rId45"/>
    <sheet state="hidden" name="Kindergarten (Quarter)" sheetId="43" r:id="rId46"/>
    <sheet state="hidden" name="1st Grade (Quarter)" sheetId="44" r:id="rId47"/>
    <sheet state="hidden" name="2nd Grade (Quarter)" sheetId="45" r:id="rId48"/>
    <sheet state="hidden" name="3rd Grade (Quarter)" sheetId="46" r:id="rId49"/>
    <sheet state="hidden" name="4th Grade (Quarter)" sheetId="47" r:id="rId50"/>
    <sheet state="hidden" name="5th Grade (Quarter)" sheetId="48" r:id="rId51"/>
    <sheet state="hidden" name="6th Grade (Quarter)" sheetId="49" r:id="rId52"/>
    <sheet state="hidden" name="7th Grade (Quarter)" sheetId="50" r:id="rId53"/>
    <sheet state="hidden" name="8th Grade (Quarter)" sheetId="51" r:id="rId54"/>
    <sheet state="hidden" name="9th Grade (Quarter)" sheetId="52" r:id="rId55"/>
    <sheet state="hidden" name="10th Grade (Quarter)" sheetId="53" r:id="rId56"/>
    <sheet state="hidden" name="11th Grade (Quarter)" sheetId="54" r:id="rId57"/>
    <sheet state="hidden" name="12th Grade (Quarter)" sheetId="55" r:id="rId58"/>
    <sheet state="hidden" name="Template_Year" sheetId="56" r:id="rId59"/>
    <sheet state="hidden" name="Template_Semester" sheetId="57" r:id="rId60"/>
    <sheet state="hidden" name="Template_Trimester" sheetId="58" r:id="rId61"/>
    <sheet state="hidden" name="Template_Quarter" sheetId="59" r:id="rId62"/>
  </sheets>
  <definedNames/>
  <calcPr/>
</workbook>
</file>

<file path=xl/sharedStrings.xml><?xml version="1.0" encoding="utf-8"?>
<sst xmlns="http://schemas.openxmlformats.org/spreadsheetml/2006/main" count="3512" uniqueCount="92">
  <si>
    <t>How to Setup This Transcript</t>
  </si>
  <si>
    <r>
      <rPr>
        <rFont val="Barlow"/>
        <color rgb="FF000000"/>
      </rPr>
      <t xml:space="preserve">Make a copy of this spreadsheet by clicking </t>
    </r>
    <r>
      <rPr>
        <rFont val="Barlow"/>
        <color theme="4"/>
        <u/>
      </rPr>
      <t>this link</t>
    </r>
    <r>
      <rPr>
        <rFont val="Barlow"/>
        <color rgb="FF000000"/>
      </rPr>
      <t xml:space="preserve"> and then clicking "Make a copy"</t>
    </r>
  </si>
  <si>
    <t>Fill in the header information below this section to the right. This information will be automatically attached to all of the headers throughout this transcript</t>
  </si>
  <si>
    <t>Fill in the "Grading Period" cell in the spreadsheet controls (below this section, to the left). This controls whether the transcript will be separated by year, semester, trimester, or quarter</t>
  </si>
  <si>
    <t>Header Information</t>
  </si>
  <si>
    <t>Student Information</t>
  </si>
  <si>
    <t>School Information</t>
  </si>
  <si>
    <t>Spreadsheet Controls</t>
  </si>
  <si>
    <t>Full Name</t>
  </si>
  <si>
    <t>Name</t>
  </si>
  <si>
    <t>Grading Period</t>
  </si>
  <si>
    <t>Date of Birth</t>
  </si>
  <si>
    <t>Phone Number</t>
  </si>
  <si>
    <t>Parent/Guardian</t>
  </si>
  <si>
    <t>Address</t>
  </si>
  <si>
    <t>Expected Graduation</t>
  </si>
  <si>
    <t>Email Address</t>
  </si>
  <si>
    <t>How to Use This Transcript</t>
  </si>
  <si>
    <t>How to use the Grade Sheets</t>
  </si>
  <si>
    <t>How to use the 'Books' and 'Leadership Roles &amp; Awards' Sheets</t>
  </si>
  <si>
    <t>Switch between this sheet and the different grade sheets (e.g. "1st Grade (Year)" and "3rd Grade (Trimester)") by clicking the tabs at the bottom of your browser window
You can change the grade scale of each sheet by looking in the top left corner for the "Grade Scale" cell
By clicking the dropdown, you can choose between 0-4, 0-100, Letter, and None, which will adapt the sheet to your needs
If you select the 0-4, 0-100, or Letter grade scale, the sheet will automatically calculate your Grade Point Average and also your total credits
To print your transcript, press and hold the Control (or "Ctrl") key and press the P key
This transcript is designed for Letter paper</t>
  </si>
  <si>
    <t>These sheets are to help you track additional information that is often requested along with a transcript. 
Switch between this sheet and the 'Books' and 'Leadership Roles &amp; Awards' sheets by clicking the tabs at the bottom of your browser window
Fill in the books your child has read, the leadership roles they have held, and the leadership awards they have received by entering them into each row
To print your transcript, press and hold the Control (or "Ctrl") key and press the P key
This transcript is designed for Letter paper</t>
  </si>
  <si>
    <t>Title</t>
  </si>
  <si>
    <t>Author</t>
  </si>
  <si>
    <t>Grade Read</t>
  </si>
  <si>
    <t>Lexile Level</t>
  </si>
  <si>
    <t>1</t>
  </si>
  <si>
    <t>2</t>
  </si>
  <si>
    <t>3</t>
  </si>
  <si>
    <t>4</t>
  </si>
  <si>
    <t>5</t>
  </si>
  <si>
    <t>6</t>
  </si>
  <si>
    <t>7</t>
  </si>
  <si>
    <t>8</t>
  </si>
  <si>
    <t>9</t>
  </si>
  <si>
    <t>10</t>
  </si>
  <si>
    <t>11</t>
  </si>
  <si>
    <t>12</t>
  </si>
  <si>
    <t>13</t>
  </si>
  <si>
    <t>14</t>
  </si>
  <si>
    <t>15</t>
  </si>
  <si>
    <t>16</t>
  </si>
  <si>
    <t>17</t>
  </si>
  <si>
    <t>18</t>
  </si>
  <si>
    <t>19</t>
  </si>
  <si>
    <t>20</t>
  </si>
  <si>
    <t>Role/Award</t>
  </si>
  <si>
    <t>Organization</t>
  </si>
  <si>
    <t>Date Start</t>
  </si>
  <si>
    <t>Date End</t>
  </si>
  <si>
    <t>Grade Scale</t>
  </si>
  <si>
    <t>0-4</t>
  </si>
  <si>
    <t>Classes</t>
  </si>
  <si>
    <t>Course Title</t>
  </si>
  <si>
    <t>Credits</t>
  </si>
  <si>
    <t>Met Requirements</t>
  </si>
  <si>
    <t>Grade</t>
  </si>
  <si>
    <t>Weight</t>
  </si>
  <si>
    <t>MAP Scores</t>
  </si>
  <si>
    <t>Cumulative</t>
  </si>
  <si>
    <t>Subject</t>
  </si>
  <si>
    <t>RIT Score</t>
  </si>
  <si>
    <t>Percentile</t>
  </si>
  <si>
    <t>Grade Point Average</t>
  </si>
  <si>
    <t>Total Credits</t>
  </si>
  <si>
    <t>Spring</t>
  </si>
  <si>
    <t>Fall</t>
  </si>
  <si>
    <t>Winter</t>
  </si>
  <si>
    <t>Math</t>
  </si>
  <si>
    <t>Reading</t>
  </si>
  <si>
    <t>Language Usage</t>
  </si>
  <si>
    <t>Science</t>
  </si>
  <si>
    <t>Cumulative GPA</t>
  </si>
  <si>
    <t>Notes</t>
  </si>
  <si>
    <t>Classes (Semester 1)</t>
  </si>
  <si>
    <t>Cumulative (Semester 1)</t>
  </si>
  <si>
    <t>Classes (Semester 2)</t>
  </si>
  <si>
    <t>Cumulative (Semester 2)</t>
  </si>
  <si>
    <t>Classes (Trimester 1)</t>
  </si>
  <si>
    <t>Cumulative (Trimester 1)</t>
  </si>
  <si>
    <t>Classes (Trimester 2)</t>
  </si>
  <si>
    <t>Cumulative (Trimester 2)</t>
  </si>
  <si>
    <t>Classes (Trimester 3)</t>
  </si>
  <si>
    <t>Cumulative (Trimester 3)</t>
  </si>
  <si>
    <t>Classes (Quarter 1)</t>
  </si>
  <si>
    <t>Cumulative (Quarter 1)</t>
  </si>
  <si>
    <t>Classes (Quarter 2)</t>
  </si>
  <si>
    <t>Cumulative (Quarter 2)</t>
  </si>
  <si>
    <t>Classes (Quarter 3)</t>
  </si>
  <si>
    <t>Cumulative (Quarter 3)</t>
  </si>
  <si>
    <t>Classes (Quarter 4)</t>
  </si>
  <si>
    <t>Cumulative (Quarter 4)</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</si>
</sst>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quot; &quot;d&quot;, &quot;yyyy"/>
    <numFmt numFmtId="165" formatCode="mmmm&quot;, &quot;yyyy"/>
  </numFmts>
  <fonts count="11">
    <font>
      <sz val="10.0"/>
      <color rgb="FF000000"/>
      <name val="Courier New"/>
      <scheme val="minor"/>
    </font>
    <font>
      <color theme="1"/>
      <name val="Barlow"/>
    </font>
    <font>
      <color rgb="FF000000"/>
      <name val="Barlow"/>
    </font>
    <font>
      <b/>
      <color rgb="FFFFFFFF"/>
      <name val="Barlow"/>
    </font>
    <font/>
    <font>
      <u/>
      <color rgb="FF000000"/>
      <name val="Barlow"/>
    </font>
    <font>
      <b/>
      <color theme="1"/>
      <name val="Barlow"/>
    </font>
    <font>
      <b/>
      <color theme="8"/>
      <name val="Barlow"/>
    </font>
    <font>
      <b/>
      <color rgb="FF000000"/>
      <name val="Barlow"/>
    </font>
    <font>
      <b/>
      <color rgb="FFF35358"/>
      <name val="Barlow"/>
    </font>
    <font>
      <color rgb="FFF35358"/>
      <name val="Barlow"/>
    </font>
  </fonts>
  <fills count="8">
    <fill>
      <patternFill patternType="none"/>
    </fill>
    <fill>
      <patternFill patternType="lightGray"/>
    </fill>
    <fill>
      <patternFill patternType="solid">
        <fgColor rgb="FFFFFFFF"/>
        <bgColor rgb="FFFFFFFF"/>
      </patternFill>
    </fill>
    <fill>
      <patternFill patternType="solid">
        <fgColor theme="4"/>
        <bgColor theme="4"/>
      </patternFill>
    </fill>
    <fill>
      <patternFill patternType="solid">
        <fgColor theme="0"/>
        <bgColor theme="0"/>
      </patternFill>
    </fill>
    <fill>
      <patternFill patternType="solid">
        <fgColor theme="1"/>
        <bgColor theme="1"/>
      </patternFill>
    </fill>
    <fill>
      <patternFill patternType="solid">
        <fgColor theme="8"/>
        <bgColor theme="8"/>
      </patternFill>
    </fill>
    <fill>
      <patternFill patternType="solid">
        <fgColor theme="6"/>
        <bgColor theme="6"/>
      </patternFill>
    </fill>
  </fills>
  <borders count="74">
    <border/>
    <border>
      <left style="thick">
        <color rgb="FF4D9BA8"/>
      </left>
      <top style="thick">
        <color rgb="FF4D9BA8"/>
      </top>
      <bottom style="thick">
        <color rgb="FF4D9BA8"/>
      </bottom>
    </border>
    <border>
      <right style="thick">
        <color rgb="FF4D9BA8"/>
      </right>
      <top style="thick">
        <color rgb="FF4D9BA8"/>
      </top>
      <bottom style="thick">
        <color rgb="FF4D9BA8"/>
      </bottom>
    </border>
    <border>
      <left style="thick">
        <color rgb="FF4D9BA8"/>
      </left>
      <top style="thick">
        <color rgb="FF4D9BA8"/>
      </top>
    </border>
    <border>
      <top style="thick">
        <color rgb="FF4D9BA8"/>
      </top>
    </border>
    <border>
      <right style="thick">
        <color rgb="FF4D9BA8"/>
      </right>
      <top style="thick">
        <color rgb="FF4D9BA8"/>
      </top>
    </border>
    <border>
      <left style="thick">
        <color rgb="FF4D9BA8"/>
      </left>
    </border>
    <border>
      <right style="thick">
        <color rgb="FF4D9BA8"/>
      </right>
    </border>
    <border>
      <left style="thick">
        <color rgb="FF4D9BA8"/>
      </left>
      <bottom style="thick">
        <color rgb="FF4D9BA8"/>
      </bottom>
    </border>
    <border>
      <bottom style="thick">
        <color rgb="FF4D9BA8"/>
      </bottom>
    </border>
    <border>
      <right style="thick">
        <color rgb="FF4D9BA8"/>
      </right>
      <bottom style="thick">
        <color rgb="FF4D9BA8"/>
      </bottom>
    </border>
    <border>
      <left style="thick">
        <color rgb="FF4D9BA8"/>
      </left>
      <right style="thick">
        <color rgb="FF4D9BA8"/>
      </right>
      <top style="thick">
        <color rgb="FF4D9BA8"/>
      </top>
      <bottom style="thick">
        <color rgb="FF4D9BA8"/>
      </bottom>
    </border>
    <border>
      <left style="thick">
        <color rgb="FFABDFE8"/>
      </left>
      <right style="thick">
        <color rgb="FFABDFE8"/>
      </right>
      <top style="thick">
        <color rgb="FFABDFE8"/>
      </top>
      <bottom style="thick">
        <color rgb="FFABDFE8"/>
      </bottom>
    </border>
    <border>
      <left style="thick">
        <color rgb="FFABDFE8"/>
      </left>
      <top style="thick">
        <color rgb="FFABDFE8"/>
      </top>
    </border>
    <border>
      <top style="thick">
        <color rgb="FFABDFE8"/>
      </top>
    </border>
    <border>
      <right style="thick">
        <color rgb="FFABDFE8"/>
      </right>
      <top style="thick">
        <color rgb="FFABDFE8"/>
      </top>
    </border>
    <border>
      <left style="thick">
        <color rgb="FFABDFE8"/>
      </left>
      <bottom style="thick">
        <color rgb="FFABDFE8"/>
      </bottom>
    </border>
    <border>
      <bottom style="thick">
        <color rgb="FFABDFE8"/>
      </bottom>
    </border>
    <border>
      <right style="thick">
        <color rgb="FFABDFE8"/>
      </right>
      <bottom style="thick">
        <color rgb="FFABDFE8"/>
      </bottom>
    </border>
    <border>
      <left style="thick">
        <color rgb="FFF35358"/>
      </left>
      <top style="thick">
        <color rgb="FFF35358"/>
      </top>
      <bottom style="thick">
        <color rgb="FFF35358"/>
      </bottom>
    </border>
    <border>
      <right style="thick">
        <color rgb="FFF35358"/>
      </right>
      <top style="thick">
        <color rgb="FFF35358"/>
      </top>
      <bottom style="thick">
        <color rgb="FFF35358"/>
      </bottom>
    </border>
    <border>
      <left style="thick">
        <color rgb="FFF35358"/>
      </left>
      <top style="thick">
        <color rgb="FFF35358"/>
      </top>
    </border>
    <border>
      <top style="thick">
        <color rgb="FFF35358"/>
      </top>
    </border>
    <border>
      <right style="thin">
        <color rgb="FFD1C7C4"/>
      </right>
      <top style="thick">
        <color rgb="FFF35358"/>
      </top>
    </border>
    <border>
      <left style="thin">
        <color rgb="FFD1C7C4"/>
      </left>
      <top style="thick">
        <color rgb="FFF35358"/>
      </top>
    </border>
    <border>
      <right style="thick">
        <color rgb="FFF35358"/>
      </right>
      <top style="thick">
        <color rgb="FFF35358"/>
      </top>
    </border>
    <border>
      <left style="thick">
        <color rgb="FFF35358"/>
      </left>
    </border>
    <border>
      <right style="thin">
        <color rgb="FFD1C7C4"/>
      </right>
    </border>
    <border>
      <left style="thin">
        <color rgb="FFD1C7C4"/>
      </left>
    </border>
    <border>
      <right style="thick">
        <color rgb="FFF35358"/>
      </right>
    </border>
    <border>
      <left style="thick">
        <color rgb="FFF35358"/>
      </left>
      <bottom style="thick">
        <color rgb="FFF35358"/>
      </bottom>
    </border>
    <border>
      <bottom style="thick">
        <color rgb="FFF35358"/>
      </bottom>
    </border>
    <border>
      <right style="thin">
        <color rgb="FFD1C7C4"/>
      </right>
      <bottom style="thick">
        <color rgb="FFF35358"/>
      </bottom>
    </border>
    <border>
      <left style="thin">
        <color rgb="FFD1C7C4"/>
      </left>
      <bottom style="thick">
        <color rgb="FFF35358"/>
      </bottom>
    </border>
    <border>
      <right style="thick">
        <color rgb="FFF35358"/>
      </right>
      <bottom style="thick">
        <color rgb="FFF35358"/>
      </bottom>
    </border>
    <border>
      <right style="thin">
        <color rgb="FFD1C7C4"/>
      </right>
      <top style="thick">
        <color rgb="FF4D9BA8"/>
      </top>
    </border>
    <border>
      <left style="thin">
        <color rgb="FFD1C7C4"/>
      </left>
      <right style="thin">
        <color rgb="FFD1C7C4"/>
      </right>
      <top style="thick">
        <color rgb="FF4D9BA8"/>
      </top>
    </border>
    <border>
      <left style="thin">
        <color rgb="FFD1C7C4"/>
      </left>
      <right style="thick">
        <color rgb="FF4D9BA8"/>
      </right>
      <top style="thick">
        <color rgb="FF4D9BA8"/>
      </top>
    </border>
    <border>
      <left style="thin">
        <color rgb="FFD1C7C4"/>
      </left>
      <right style="thin">
        <color rgb="FFD1C7C4"/>
      </right>
    </border>
    <border>
      <left style="thin">
        <color rgb="FFD1C7C4"/>
      </left>
      <right style="thick">
        <color rgb="FF4D9BA8"/>
      </right>
    </border>
    <border>
      <right style="thin">
        <color rgb="FFD1C7C4"/>
      </right>
      <bottom style="thick">
        <color rgb="FF4D9BA8"/>
      </bottom>
    </border>
    <border>
      <left style="thin">
        <color rgb="FFD1C7C4"/>
      </left>
      <right style="thin">
        <color rgb="FFD1C7C4"/>
      </right>
      <bottom style="thick">
        <color rgb="FF4D9BA8"/>
      </bottom>
    </border>
    <border>
      <left style="thin">
        <color rgb="FFD1C7C4"/>
      </left>
      <right style="thick">
        <color rgb="FF4D9BA8"/>
      </right>
      <bottom style="thick">
        <color rgb="FF4D9BA8"/>
      </bottom>
    </border>
    <border>
      <left style="medium">
        <color rgb="FFABDFE8"/>
      </left>
      <right style="medium">
        <color rgb="FFABDFE8"/>
      </right>
      <top style="medium">
        <color rgb="FFABDFE8"/>
      </top>
      <bottom style="medium">
        <color rgb="FFABDFE8"/>
      </bottom>
    </border>
    <border>
      <left style="medium">
        <color rgb="FFF35358"/>
      </left>
      <top style="medium">
        <color rgb="FFF35358"/>
      </top>
    </border>
    <border>
      <right style="medium">
        <color rgb="FFF35358"/>
      </right>
      <top style="medium">
        <color rgb="FFF35358"/>
      </top>
    </border>
    <border>
      <left style="medium">
        <color rgb="FFABDFE8"/>
      </left>
      <top style="medium">
        <color rgb="FFABDFE8"/>
      </top>
    </border>
    <border>
      <left style="medium">
        <color rgb="FFD1C7C4"/>
      </left>
      <top style="medium">
        <color rgb="FFABDFE8"/>
      </top>
    </border>
    <border>
      <top style="medium">
        <color rgb="FFABDFE8"/>
      </top>
    </border>
    <border>
      <right style="thin">
        <color rgb="FFD1C7C4"/>
      </right>
      <top style="medium">
        <color rgb="FFABDFE8"/>
      </top>
    </border>
    <border>
      <right style="medium">
        <color rgb="FFABDFE8"/>
      </right>
      <top style="medium">
        <color rgb="FFABDFE8"/>
      </top>
    </border>
    <border>
      <top style="medium">
        <color rgb="FFF35358"/>
      </top>
    </border>
    <border>
      <left style="medium">
        <color rgb="FFABDFE8"/>
      </left>
    </border>
    <border>
      <left style="medium">
        <color rgb="FFD1C7C4"/>
      </left>
      <right style="thin">
        <color rgb="FFD1C7C4"/>
      </right>
    </border>
    <border>
      <left style="thin">
        <color rgb="FFD1C7C4"/>
      </left>
      <right style="medium">
        <color rgb="FFABDFE8"/>
      </right>
    </border>
    <border>
      <left style="medium">
        <color rgb="FFF35358"/>
      </left>
      <bottom style="medium">
        <color rgb="FFF35358"/>
      </bottom>
    </border>
    <border>
      <bottom style="medium">
        <color rgb="FFF35358"/>
      </bottom>
    </border>
    <border>
      <right style="medium">
        <color rgb="FFF35358"/>
      </right>
      <bottom style="medium">
        <color rgb="FFF35358"/>
      </bottom>
    </border>
    <border>
      <left style="thin">
        <color rgb="FFD1C7C4"/>
      </left>
      <right style="medium">
        <color rgb="FFD1C7C4"/>
      </right>
    </border>
    <border>
      <left style="medium">
        <color rgb="FFABDFE8"/>
      </left>
      <bottom style="medium">
        <color rgb="FFABDFE8"/>
      </bottom>
    </border>
    <border>
      <left style="medium">
        <color rgb="FFD1C7C4"/>
      </left>
      <right style="thin">
        <color rgb="FFD1C7C4"/>
      </right>
      <bottom style="medium">
        <color rgb="FFABDFE8"/>
      </bottom>
    </border>
    <border>
      <left style="thin">
        <color rgb="FFD1C7C4"/>
      </left>
      <right style="thin">
        <color rgb="FFD1C7C4"/>
      </right>
      <bottom style="medium">
        <color rgb="FFABDFE8"/>
      </bottom>
    </border>
    <border>
      <left style="thin">
        <color rgb="FFD1C7C4"/>
      </left>
      <right style="medium">
        <color rgb="FFD1C7C4"/>
      </right>
      <bottom style="medium">
        <color rgb="FFABDFE8"/>
      </bottom>
    </border>
    <border>
      <right style="thin">
        <color rgb="FFD1C7C4"/>
      </right>
      <bottom style="medium">
        <color rgb="FFABDFE8"/>
      </bottom>
    </border>
    <border>
      <left style="thin">
        <color rgb="FFD1C7C4"/>
      </left>
      <right style="medium">
        <color rgb="FFABDFE8"/>
      </right>
      <bottom style="medium">
        <color rgb="FFABDFE8"/>
      </bottom>
    </border>
    <border>
      <bottom style="medium">
        <color rgb="FFD1C7C4"/>
      </bottom>
    </border>
    <border>
      <right style="medium">
        <color rgb="FFD1C7C4"/>
      </right>
      <bottom style="medium">
        <color rgb="FFD1C7C4"/>
      </bottom>
    </border>
    <border>
      <top style="medium">
        <color rgb="FFD1C7C4"/>
      </top>
    </border>
    <border>
      <right style="medium">
        <color rgb="FFD1C7C4"/>
      </right>
      <top style="medium">
        <color rgb="FFD1C7C4"/>
      </top>
    </border>
    <border>
      <right style="medium">
        <color rgb="FFD1C7C4"/>
      </right>
    </border>
    <border>
      <left style="medium">
        <color rgb="FFD1C7C4"/>
      </left>
    </border>
    <border>
      <left style="medium">
        <color rgb="FFD1C7C4"/>
      </left>
      <top style="medium">
        <color rgb="FFD1C7C4"/>
      </top>
    </border>
    <border>
      <left style="medium">
        <color rgb="FFD1C7C4"/>
      </left>
      <bottom style="medium">
        <color rgb="FFD1C7C4"/>
      </bottom>
    </border>
    <border>
      <left style="medium">
        <color rgb="FFABDFE8"/>
      </left>
      <top style="medium">
        <color rgb="FFABDFE8"/>
      </top>
      <bottom style="medium">
        <color rgb="FFABDFE8"/>
      </bottom>
    </border>
  </borders>
  <cellStyleXfs count="1">
    <xf borderId="0" fillId="0" fontId="0" numFmtId="0" applyAlignment="1" applyFont="1"/>
  </cellStyleXfs>
  <cellXfs count="156">
    <xf borderId="0" fillId="0" fontId="0" numFmtId="0" xfId="0" applyAlignment="1" applyFont="1">
      <alignment readingOrder="0" shrinkToFit="0" vertical="bottom" wrapText="0"/>
    </xf>
    <xf borderId="0" fillId="0" fontId="1" numFmtId="0" xfId="0" applyFont="1"/>
    <xf borderId="0" fillId="2" fontId="1" numFmtId="0" xfId="0" applyFill="1" applyFont="1"/>
    <xf borderId="0" fillId="2" fontId="2" numFmtId="49" xfId="0" applyAlignment="1" applyFont="1" applyNumberFormat="1">
      <alignment shrinkToFit="0" wrapText="1"/>
    </xf>
    <xf borderId="1" fillId="3" fontId="3" numFmtId="0" xfId="0" applyAlignment="1" applyBorder="1" applyFill="1" applyFont="1">
      <alignment horizontal="center" readingOrder="0"/>
    </xf>
    <xf borderId="2" fillId="0" fontId="4" numFmtId="0" xfId="0" applyBorder="1" applyFont="1"/>
    <xf borderId="3" fillId="0" fontId="2" numFmtId="0" xfId="0" applyAlignment="1" applyBorder="1" applyFont="1">
      <alignment readingOrder="0"/>
    </xf>
    <xf borderId="4" fillId="0" fontId="5" numFmtId="0" xfId="0" applyAlignment="1" applyBorder="1" applyFont="1">
      <alignment readingOrder="0" shrinkToFit="0" vertical="center" wrapText="1"/>
    </xf>
    <xf borderId="4" fillId="0" fontId="4" numFmtId="0" xfId="0" applyBorder="1" applyFont="1"/>
    <xf borderId="5" fillId="0" fontId="4" numFmtId="0" xfId="0" applyBorder="1" applyFont="1"/>
    <xf borderId="0" fillId="0" fontId="2" numFmtId="0" xfId="0" applyAlignment="1" applyFont="1">
      <alignment horizontal="center" readingOrder="0"/>
    </xf>
    <xf borderId="6" fillId="0" fontId="2" numFmtId="0" xfId="0" applyAlignment="1" applyBorder="1" applyFont="1">
      <alignment readingOrder="0"/>
    </xf>
    <xf borderId="0" fillId="0" fontId="2" numFmtId="0" xfId="0" applyAlignment="1" applyFont="1">
      <alignment readingOrder="0" shrinkToFit="0" vertical="center" wrapText="1"/>
    </xf>
    <xf borderId="7" fillId="0" fontId="4" numFmtId="0" xfId="0" applyBorder="1" applyFont="1"/>
    <xf borderId="8" fillId="0" fontId="2" numFmtId="0" xfId="0" applyAlignment="1" applyBorder="1" applyFont="1">
      <alignment readingOrder="0"/>
    </xf>
    <xf borderId="9" fillId="0" fontId="2" numFmtId="0" xfId="0" applyAlignment="1" applyBorder="1" applyFont="1">
      <alignment readingOrder="0" shrinkToFit="0" vertical="center" wrapText="1"/>
    </xf>
    <xf borderId="9" fillId="0" fontId="4" numFmtId="0" xfId="0" applyBorder="1" applyFont="1"/>
    <xf borderId="10" fillId="0" fontId="4" numFmtId="0" xfId="0" applyBorder="1" applyFont="1"/>
    <xf borderId="0" fillId="2" fontId="2" numFmtId="0" xfId="0" applyFont="1"/>
    <xf borderId="11" fillId="3" fontId="3" numFmtId="0" xfId="0" applyAlignment="1" applyBorder="1" applyFont="1">
      <alignment horizontal="center" readingOrder="0"/>
    </xf>
    <xf borderId="3" fillId="2" fontId="6" numFmtId="49" xfId="0" applyAlignment="1" applyBorder="1" applyFont="1" applyNumberFormat="1">
      <alignment horizontal="center" readingOrder="0" shrinkToFit="0" wrapText="1"/>
    </xf>
    <xf borderId="4" fillId="2" fontId="6" numFmtId="49" xfId="0" applyAlignment="1" applyBorder="1" applyFont="1" applyNumberFormat="1">
      <alignment horizontal="center" readingOrder="0" shrinkToFit="0" wrapText="1"/>
    </xf>
    <xf borderId="12" fillId="4" fontId="7" numFmtId="0" xfId="0" applyAlignment="1" applyBorder="1" applyFill="1" applyFont="1">
      <alignment horizontal="center" readingOrder="0"/>
    </xf>
    <xf borderId="6" fillId="2" fontId="8" numFmtId="49" xfId="0" applyAlignment="1" applyBorder="1" applyFont="1" applyNumberFormat="1">
      <alignment horizontal="right" readingOrder="0" shrinkToFit="0" vertical="top" wrapText="1"/>
    </xf>
    <xf borderId="0" fillId="2" fontId="2" numFmtId="49" xfId="0" applyAlignment="1" applyFont="1" applyNumberFormat="1">
      <alignment readingOrder="0" shrinkToFit="0" vertical="top" wrapText="1"/>
    </xf>
    <xf borderId="0" fillId="2" fontId="8" numFmtId="49" xfId="0" applyAlignment="1" applyFont="1" applyNumberFormat="1">
      <alignment horizontal="right" readingOrder="0" shrinkToFit="0" vertical="top" wrapText="1"/>
    </xf>
    <xf borderId="7" fillId="2" fontId="2" numFmtId="49" xfId="0" applyAlignment="1" applyBorder="1" applyFont="1" applyNumberFormat="1">
      <alignment readingOrder="0" shrinkToFit="0" vertical="top" wrapText="1"/>
    </xf>
    <xf borderId="13" fillId="2" fontId="6" numFmtId="0" xfId="0" applyAlignment="1" applyBorder="1" applyFont="1">
      <alignment readingOrder="0"/>
    </xf>
    <xf borderId="14" fillId="0" fontId="4" numFmtId="0" xfId="0" applyBorder="1" applyFont="1"/>
    <xf borderId="15" fillId="0" fontId="4" numFmtId="0" xfId="0" applyBorder="1" applyFont="1"/>
    <xf borderId="0" fillId="2" fontId="2" numFmtId="164" xfId="0" applyAlignment="1" applyFont="1" applyNumberFormat="1">
      <alignment horizontal="left" readingOrder="0" shrinkToFit="0" vertical="top" wrapText="1"/>
    </xf>
    <xf borderId="0" fillId="2" fontId="1" numFmtId="0" xfId="0" applyAlignment="1" applyFont="1">
      <alignment readingOrder="0"/>
    </xf>
    <xf borderId="16" fillId="2" fontId="2" numFmtId="0" xfId="0" applyAlignment="1" applyBorder="1" applyFont="1">
      <alignment readingOrder="0"/>
    </xf>
    <xf borderId="17" fillId="0" fontId="4" numFmtId="0" xfId="0" applyBorder="1" applyFont="1"/>
    <xf borderId="18" fillId="0" fontId="4" numFmtId="0" xfId="0" applyBorder="1" applyFont="1"/>
    <xf borderId="6" fillId="0" fontId="4" numFmtId="0" xfId="0" applyBorder="1" applyFont="1"/>
    <xf borderId="0" fillId="2" fontId="2" numFmtId="165" xfId="0" applyAlignment="1" applyFont="1" applyNumberFormat="1">
      <alignment horizontal="left" readingOrder="0" shrinkToFit="0" vertical="top" wrapText="1"/>
    </xf>
    <xf borderId="8" fillId="0" fontId="4" numFmtId="0" xfId="0" applyBorder="1" applyFont="1"/>
    <xf borderId="19" fillId="5" fontId="7" numFmtId="0" xfId="0" applyAlignment="1" applyBorder="1" applyFill="1" applyFont="1">
      <alignment horizontal="center" readingOrder="0"/>
    </xf>
    <xf borderId="20" fillId="0" fontId="4" numFmtId="0" xfId="0" applyBorder="1" applyFont="1"/>
    <xf borderId="0" fillId="0" fontId="2" numFmtId="0" xfId="0" applyFont="1"/>
    <xf borderId="21" fillId="0" fontId="9" numFmtId="0" xfId="0" applyAlignment="1" applyBorder="1" applyFont="1">
      <alignment horizontal="center" readingOrder="0"/>
    </xf>
    <xf borderId="22" fillId="0" fontId="4" numFmtId="0" xfId="0" applyBorder="1" applyFont="1"/>
    <xf borderId="23" fillId="0" fontId="4" numFmtId="0" xfId="0" applyBorder="1" applyFont="1"/>
    <xf borderId="24" fillId="0" fontId="9" numFmtId="0" xfId="0" applyAlignment="1" applyBorder="1" applyFont="1">
      <alignment horizontal="center" readingOrder="0"/>
    </xf>
    <xf borderId="25" fillId="0" fontId="4" numFmtId="0" xfId="0" applyBorder="1" applyFont="1"/>
    <xf borderId="26" fillId="2" fontId="2" numFmtId="0" xfId="0" applyAlignment="1" applyBorder="1" applyFont="1">
      <alignment readingOrder="0" shrinkToFit="0" vertical="top" wrapText="1"/>
    </xf>
    <xf borderId="27" fillId="0" fontId="4" numFmtId="0" xfId="0" applyBorder="1" applyFont="1"/>
    <xf borderId="28" fillId="2" fontId="2" numFmtId="0" xfId="0" applyAlignment="1" applyBorder="1" applyFont="1">
      <alignment readingOrder="0" shrinkToFit="0" vertical="top" wrapText="1"/>
    </xf>
    <xf borderId="29" fillId="0" fontId="4" numFmtId="0" xfId="0" applyBorder="1" applyFont="1"/>
    <xf borderId="26" fillId="0" fontId="4" numFmtId="0" xfId="0" applyBorder="1" applyFont="1"/>
    <xf borderId="28" fillId="0" fontId="4" numFmtId="0" xfId="0" applyBorder="1" applyFont="1"/>
    <xf borderId="30" fillId="0" fontId="4" numFmtId="0" xfId="0" applyBorder="1" applyFont="1"/>
    <xf borderId="31" fillId="0" fontId="4" numFmtId="0" xfId="0" applyBorder="1" applyFont="1"/>
    <xf borderId="32" fillId="0" fontId="4" numFmtId="0" xfId="0" applyBorder="1" applyFont="1"/>
    <xf borderId="33" fillId="0" fontId="4" numFmtId="0" xfId="0" applyBorder="1" applyFont="1"/>
    <xf borderId="34" fillId="0" fontId="4" numFmtId="0" xfId="0" applyBorder="1" applyFont="1"/>
    <xf borderId="0" fillId="6" fontId="2" numFmtId="49" xfId="0" applyAlignment="1" applyFill="1" applyFont="1" applyNumberFormat="1">
      <alignment shrinkToFit="0" wrapText="1"/>
    </xf>
    <xf borderId="0" fillId="6" fontId="6" numFmtId="49" xfId="0" applyAlignment="1" applyFont="1" applyNumberFormat="1">
      <alignment horizontal="center" readingOrder="0" shrinkToFit="0" wrapText="1"/>
    </xf>
    <xf borderId="0" fillId="6" fontId="8" numFmtId="49" xfId="0" applyAlignment="1" applyFont="1" applyNumberFormat="1">
      <alignment horizontal="right" readingOrder="0" shrinkToFit="0" vertical="top" wrapText="1"/>
    </xf>
    <xf borderId="0" fillId="6" fontId="2" numFmtId="49" xfId="0" applyAlignment="1" applyFont="1" applyNumberFormat="1">
      <alignment readingOrder="0" shrinkToFit="0" vertical="top" wrapText="1"/>
    </xf>
    <xf borderId="0" fillId="6" fontId="2" numFmtId="164" xfId="0" applyAlignment="1" applyFont="1" applyNumberFormat="1">
      <alignment horizontal="left" readingOrder="0" shrinkToFit="0" vertical="top" wrapText="1"/>
    </xf>
    <xf borderId="0" fillId="6" fontId="2" numFmtId="165" xfId="0" applyAlignment="1" applyFont="1" applyNumberFormat="1">
      <alignment horizontal="left" readingOrder="0" shrinkToFit="0" vertical="top" wrapText="1"/>
    </xf>
    <xf borderId="0" fillId="2" fontId="1" numFmtId="49" xfId="0" applyAlignment="1" applyFont="1" applyNumberFormat="1">
      <alignment readingOrder="0" shrinkToFit="0" wrapText="1"/>
    </xf>
    <xf borderId="0" fillId="2" fontId="2" numFmtId="0" xfId="0" applyAlignment="1" applyFont="1">
      <alignment readingOrder="0" shrinkToFit="0" vertical="top" wrapText="1"/>
    </xf>
    <xf borderId="0" fillId="6" fontId="6" numFmtId="49" xfId="0" applyAlignment="1" applyFont="1" applyNumberFormat="1">
      <alignment horizontal="center" readingOrder="0" shrinkToFit="0" vertical="center" wrapText="1"/>
    </xf>
    <xf borderId="0" fillId="6" fontId="10" numFmtId="49" xfId="0" applyAlignment="1" applyFont="1" applyNumberFormat="1">
      <alignment readingOrder="0" shrinkToFit="0" wrapText="1"/>
    </xf>
    <xf borderId="0" fillId="0" fontId="2" numFmtId="0" xfId="0" applyAlignment="1" applyFont="1">
      <alignment readingOrder="0" vertical="top"/>
    </xf>
    <xf borderId="0" fillId="0" fontId="2" numFmtId="164" xfId="0" applyAlignment="1" applyFont="1" applyNumberFormat="1">
      <alignment horizontal="left" readingOrder="0" vertical="top"/>
    </xf>
    <xf borderId="0" fillId="6" fontId="2" numFmtId="0" xfId="0" applyAlignment="1" applyFont="1">
      <alignment readingOrder="0" shrinkToFit="0" wrapText="1"/>
    </xf>
    <xf borderId="0" fillId="6" fontId="2" numFmtId="164" xfId="0" applyAlignment="1" applyFont="1" applyNumberFormat="1">
      <alignment readingOrder="0" shrinkToFit="0" wrapText="1"/>
    </xf>
    <xf borderId="0" fillId="6" fontId="9" numFmtId="49" xfId="0" applyAlignment="1" applyFont="1" applyNumberFormat="1">
      <alignment horizontal="center" readingOrder="0" shrinkToFit="0" wrapText="1"/>
    </xf>
    <xf borderId="0" fillId="6" fontId="2" numFmtId="0" xfId="0" applyFont="1"/>
    <xf borderId="0" fillId="6" fontId="2" numFmtId="49" xfId="0" applyAlignment="1" applyFont="1" applyNumberFormat="1">
      <alignment horizontal="right" readingOrder="0" shrinkToFit="0" vertical="top" wrapText="1"/>
    </xf>
    <xf borderId="0" fillId="0" fontId="9" numFmtId="0" xfId="0" applyAlignment="1" applyFont="1">
      <alignment horizontal="center" readingOrder="0"/>
    </xf>
    <xf borderId="0" fillId="0" fontId="2" numFmtId="0" xfId="0" applyAlignment="1" applyFont="1">
      <alignment horizontal="center" readingOrder="0" vertical="center"/>
    </xf>
    <xf borderId="3" fillId="0" fontId="10" numFmtId="0" xfId="0" applyAlignment="1" applyBorder="1" applyFont="1">
      <alignment horizontal="center" readingOrder="0"/>
    </xf>
    <xf borderId="35" fillId="0" fontId="4" numFmtId="0" xfId="0" applyBorder="1" applyFont="1"/>
    <xf borderId="36" fillId="0" fontId="10" numFmtId="0" xfId="0" applyAlignment="1" applyBorder="1" applyFont="1">
      <alignment horizontal="center" readingOrder="0"/>
    </xf>
    <xf borderId="37" fillId="0" fontId="1" numFmtId="0" xfId="0" applyAlignment="1" applyBorder="1" applyFont="1">
      <alignment horizontal="center" readingOrder="0"/>
    </xf>
    <xf borderId="35" fillId="0" fontId="1" numFmtId="0" xfId="0" applyAlignment="1" applyBorder="1" applyFont="1">
      <alignment horizontal="center" readingOrder="0"/>
    </xf>
    <xf borderId="37" fillId="0" fontId="10" numFmtId="0" xfId="0" applyAlignment="1" applyBorder="1" applyFont="1">
      <alignment horizontal="center" readingOrder="0"/>
    </xf>
    <xf borderId="5" fillId="0" fontId="10" numFmtId="0" xfId="0" applyAlignment="1" applyBorder="1" applyFont="1">
      <alignment horizontal="center" readingOrder="0"/>
    </xf>
    <xf borderId="6" fillId="0" fontId="2" numFmtId="0" xfId="0" applyAlignment="1" applyBorder="1" applyFont="1">
      <alignment readingOrder="0" shrinkToFit="0" textRotation="0" wrapText="1"/>
    </xf>
    <xf borderId="38" fillId="0" fontId="2" numFmtId="0" xfId="0" applyAlignment="1" applyBorder="1" applyFont="1">
      <alignment horizontal="right" readingOrder="0" shrinkToFit="0" wrapText="1"/>
    </xf>
    <xf borderId="39" fillId="0" fontId="2" numFmtId="0" xfId="0" applyAlignment="1" applyBorder="1" applyFont="1">
      <alignment horizontal="center" readingOrder="0" shrinkToFit="0" wrapText="1"/>
    </xf>
    <xf borderId="27" fillId="0" fontId="2" numFmtId="0" xfId="0" applyAlignment="1" applyBorder="1" applyFont="1">
      <alignment horizontal="right" readingOrder="0" shrinkToFit="0" wrapText="1"/>
    </xf>
    <xf borderId="39" fillId="0" fontId="2" numFmtId="0" xfId="0" applyAlignment="1" applyBorder="1" applyFont="1">
      <alignment horizontal="right" readingOrder="0" shrinkToFit="0" wrapText="1"/>
    </xf>
    <xf borderId="7" fillId="0" fontId="2" numFmtId="0" xfId="0" applyAlignment="1" applyBorder="1" applyFont="1">
      <alignment horizontal="right" readingOrder="0" shrinkToFit="0" wrapText="1"/>
    </xf>
    <xf borderId="8" fillId="0" fontId="2" numFmtId="0" xfId="0" applyAlignment="1" applyBorder="1" applyFont="1">
      <alignment readingOrder="0" shrinkToFit="0" wrapText="1"/>
    </xf>
    <xf borderId="40" fillId="0" fontId="4" numFmtId="0" xfId="0" applyBorder="1" applyFont="1"/>
    <xf borderId="41" fillId="0" fontId="2" numFmtId="0" xfId="0" applyAlignment="1" applyBorder="1" applyFont="1">
      <alignment horizontal="right" shrinkToFit="0" wrapText="1"/>
    </xf>
    <xf borderId="42" fillId="0" fontId="2" numFmtId="0" xfId="0" applyAlignment="1" applyBorder="1" applyFont="1">
      <alignment horizontal="center" shrinkToFit="0" wrapText="1"/>
    </xf>
    <xf borderId="40" fillId="0" fontId="2" numFmtId="0" xfId="0" applyAlignment="1" applyBorder="1" applyFont="1">
      <alignment horizontal="right" shrinkToFit="0" wrapText="1"/>
    </xf>
    <xf borderId="42" fillId="0" fontId="2" numFmtId="0" xfId="0" applyAlignment="1" applyBorder="1" applyFont="1">
      <alignment horizontal="right" shrinkToFit="0" wrapText="1"/>
    </xf>
    <xf borderId="10" fillId="0" fontId="2" numFmtId="0" xfId="0" applyAlignment="1" applyBorder="1" applyFont="1">
      <alignment horizontal="right" shrinkToFit="0" wrapText="1"/>
    </xf>
    <xf borderId="0" fillId="0" fontId="2" numFmtId="0" xfId="0" applyAlignment="1" applyFont="1">
      <alignment readingOrder="0" shrinkToFit="0" wrapText="1"/>
    </xf>
    <xf borderId="0" fillId="0" fontId="2" numFmtId="0" xfId="0" applyAlignment="1" applyFont="1">
      <alignment horizontal="right" shrinkToFit="0" wrapText="1"/>
    </xf>
    <xf borderId="43" fillId="4" fontId="3" numFmtId="0" xfId="0" applyAlignment="1" applyBorder="1" applyFont="1">
      <alignment horizontal="center" readingOrder="0" shrinkToFit="0" wrapText="1"/>
    </xf>
    <xf borderId="0" fillId="0" fontId="3" numFmtId="0" xfId="0" applyAlignment="1" applyFont="1">
      <alignment horizontal="center" readingOrder="0" shrinkToFit="0" wrapText="1"/>
    </xf>
    <xf borderId="0" fillId="0" fontId="10" numFmtId="0" xfId="0" applyAlignment="1" applyFont="1">
      <alignment horizontal="left" readingOrder="0" shrinkToFit="0" wrapText="1"/>
    </xf>
    <xf borderId="44" fillId="5" fontId="3" numFmtId="0" xfId="0" applyAlignment="1" applyBorder="1" applyFont="1">
      <alignment horizontal="center" readingOrder="0"/>
    </xf>
    <xf borderId="45" fillId="0" fontId="4" numFmtId="0" xfId="0" applyBorder="1" applyFont="1"/>
    <xf borderId="46" fillId="0" fontId="6" numFmtId="0" xfId="0" applyAlignment="1" applyBorder="1" applyFont="1">
      <alignment horizontal="center" readingOrder="0" vertical="top"/>
    </xf>
    <xf borderId="47" fillId="0" fontId="9" numFmtId="0" xfId="0" applyAlignment="1" applyBorder="1" applyFont="1">
      <alignment horizontal="center" readingOrder="0" shrinkToFit="0" wrapText="1"/>
    </xf>
    <xf borderId="48" fillId="0" fontId="4" numFmtId="0" xfId="0" applyBorder="1" applyFont="1"/>
    <xf borderId="49" fillId="0" fontId="4" numFmtId="0" xfId="0" applyBorder="1" applyFont="1"/>
    <xf borderId="50" fillId="0" fontId="4" numFmtId="0" xfId="0" applyBorder="1" applyFont="1"/>
    <xf borderId="44" fillId="0" fontId="10" numFmtId="0" xfId="0" applyAlignment="1" applyBorder="1" applyFont="1">
      <alignment horizontal="left" readingOrder="0" shrinkToFit="0" wrapText="1"/>
    </xf>
    <xf borderId="51" fillId="0" fontId="4" numFmtId="0" xfId="0" applyBorder="1" applyFont="1"/>
    <xf borderId="0" fillId="0" fontId="2" numFmtId="0" xfId="0" applyAlignment="1" applyFont="1">
      <alignment horizontal="left" shrinkToFit="0" wrapText="1"/>
    </xf>
    <xf borderId="51" fillId="0" fontId="10" numFmtId="0" xfId="0" applyAlignment="1" applyBorder="1" applyFont="1">
      <alignment horizontal="left" readingOrder="0" shrinkToFit="0" wrapText="1"/>
    </xf>
    <xf borderId="52" fillId="0" fontId="4" numFmtId="0" xfId="0" applyBorder="1" applyFont="1"/>
    <xf borderId="53" fillId="0" fontId="10" numFmtId="0" xfId="0" applyAlignment="1" applyBorder="1" applyFont="1">
      <alignment horizontal="center" readingOrder="0" shrinkToFit="0" wrapText="1"/>
    </xf>
    <xf borderId="38" fillId="0" fontId="10" numFmtId="0" xfId="0" applyAlignment="1" applyBorder="1" applyFont="1">
      <alignment horizontal="center" readingOrder="0" shrinkToFit="0" wrapText="1"/>
    </xf>
    <xf borderId="28" fillId="0" fontId="10" numFmtId="0" xfId="0" applyAlignment="1" applyBorder="1" applyFont="1">
      <alignment horizontal="center" readingOrder="0" shrinkToFit="0" wrapText="1"/>
    </xf>
    <xf borderId="54" fillId="0" fontId="10" numFmtId="0" xfId="0" applyAlignment="1" applyBorder="1" applyFont="1">
      <alignment horizontal="center" readingOrder="0" shrinkToFit="0" wrapText="1"/>
    </xf>
    <xf borderId="55" fillId="0" fontId="2" numFmtId="0" xfId="0" applyAlignment="1" applyBorder="1" applyFont="1">
      <alignment horizontal="left" shrinkToFit="0" wrapText="1"/>
    </xf>
    <xf borderId="56" fillId="0" fontId="4" numFmtId="0" xfId="0" applyBorder="1" applyFont="1"/>
    <xf borderId="56" fillId="0" fontId="2" numFmtId="0" xfId="0" applyAlignment="1" applyBorder="1" applyFont="1">
      <alignment horizontal="left" shrinkToFit="0" wrapText="1"/>
    </xf>
    <xf borderId="57" fillId="0" fontId="4" numFmtId="0" xfId="0" applyBorder="1" applyFont="1"/>
    <xf borderId="52" fillId="0" fontId="8" numFmtId="0" xfId="0" applyAlignment="1" applyBorder="1" applyFont="1">
      <alignment horizontal="right" readingOrder="0"/>
    </xf>
    <xf borderId="53" fillId="0" fontId="2" numFmtId="0" xfId="0" applyAlignment="1" applyBorder="1" applyFont="1">
      <alignment horizontal="right" readingOrder="0" shrinkToFit="0" wrapText="1"/>
    </xf>
    <xf borderId="58" fillId="0" fontId="2" numFmtId="0" xfId="0" applyAlignment="1" applyBorder="1" applyFont="1">
      <alignment horizontal="right" readingOrder="0" shrinkToFit="0" wrapText="1"/>
    </xf>
    <xf borderId="54" fillId="0" fontId="2" numFmtId="0" xfId="0" applyAlignment="1" applyBorder="1" applyFont="1">
      <alignment horizontal="right" readingOrder="0" shrinkToFit="0" wrapText="1"/>
    </xf>
    <xf borderId="59" fillId="0" fontId="8" numFmtId="0" xfId="0" applyAlignment="1" applyBorder="1" applyFont="1">
      <alignment horizontal="right" readingOrder="0"/>
    </xf>
    <xf borderId="60" fillId="0" fontId="2" numFmtId="0" xfId="0" applyAlignment="1" applyBorder="1" applyFont="1">
      <alignment horizontal="right" readingOrder="0" shrinkToFit="0" wrapText="1"/>
    </xf>
    <xf borderId="61" fillId="0" fontId="2" numFmtId="0" xfId="0" applyAlignment="1" applyBorder="1" applyFont="1">
      <alignment horizontal="right" readingOrder="0" shrinkToFit="0" wrapText="1"/>
    </xf>
    <xf borderId="62" fillId="0" fontId="2" numFmtId="0" xfId="0" applyAlignment="1" applyBorder="1" applyFont="1">
      <alignment horizontal="right" readingOrder="0" shrinkToFit="0" wrapText="1"/>
    </xf>
    <xf borderId="63" fillId="0" fontId="2" numFmtId="0" xfId="0" applyAlignment="1" applyBorder="1" applyFont="1">
      <alignment horizontal="right" readingOrder="0" shrinkToFit="0" wrapText="1"/>
    </xf>
    <xf borderId="64" fillId="0" fontId="2" numFmtId="0" xfId="0" applyAlignment="1" applyBorder="1" applyFont="1">
      <alignment horizontal="right" readingOrder="0" shrinkToFit="0" wrapText="1"/>
    </xf>
    <xf borderId="0" fillId="0" fontId="2" numFmtId="0" xfId="0" applyAlignment="1" applyFont="1">
      <alignment horizontal="center" shrinkToFit="0" wrapText="1"/>
    </xf>
    <xf borderId="52" fillId="0" fontId="8" numFmtId="0" xfId="0" applyAlignment="1" applyBorder="1" applyFont="1">
      <alignment horizontal="right" readingOrder="0" shrinkToFit="0" wrapText="1"/>
    </xf>
    <xf borderId="0" fillId="0" fontId="6" numFmtId="0" xfId="0" applyAlignment="1" applyFont="1">
      <alignment horizontal="center" readingOrder="0"/>
    </xf>
    <xf borderId="65" fillId="7" fontId="3" numFmtId="0" xfId="0" applyAlignment="1" applyBorder="1" applyFill="1" applyFont="1">
      <alignment horizontal="center" readingOrder="0"/>
    </xf>
    <xf borderId="66" fillId="0" fontId="4" numFmtId="0" xfId="0" applyBorder="1" applyFont="1"/>
    <xf borderId="67" fillId="6" fontId="2" numFmtId="49" xfId="0" applyAlignment="1" applyBorder="1" applyFont="1" applyNumberFormat="1">
      <alignment horizontal="left" readingOrder="0" shrinkToFit="0" vertical="top" wrapText="1"/>
    </xf>
    <xf borderId="67" fillId="0" fontId="4" numFmtId="0" xfId="0" applyBorder="1" applyFont="1"/>
    <xf borderId="68" fillId="0" fontId="4" numFmtId="0" xfId="0" applyBorder="1" applyFont="1"/>
    <xf borderId="69" fillId="0" fontId="4" numFmtId="0" xfId="0" applyBorder="1" applyFont="1"/>
    <xf borderId="65" fillId="0" fontId="4" numFmtId="0" xfId="0" applyBorder="1" applyFont="1"/>
    <xf borderId="6" fillId="0" fontId="2" numFmtId="0" xfId="0" applyAlignment="1" applyBorder="1" applyFont="1">
      <alignment readingOrder="0" shrinkToFit="0" wrapText="1"/>
    </xf>
    <xf borderId="39" fillId="0" fontId="2" numFmtId="0" xfId="0" applyAlignment="1" applyBorder="1" applyFont="1">
      <alignment horizontal="right" shrinkToFit="0" wrapText="1"/>
    </xf>
    <xf borderId="39" fillId="0" fontId="2" numFmtId="0" xfId="0" applyAlignment="1" applyBorder="1" applyFont="1">
      <alignment horizontal="center" shrinkToFit="0" wrapText="1"/>
    </xf>
    <xf borderId="7" fillId="0" fontId="2" numFmtId="0" xfId="0" applyAlignment="1" applyBorder="1" applyFont="1">
      <alignment horizontal="right" shrinkToFit="0" wrapText="1"/>
    </xf>
    <xf borderId="38" fillId="0" fontId="2" numFmtId="0" xfId="0" applyAlignment="1" applyBorder="1" applyFont="1">
      <alignment horizontal="right" shrinkToFit="0" wrapText="1"/>
    </xf>
    <xf borderId="27" fillId="0" fontId="2" numFmtId="0" xfId="0" applyAlignment="1" applyBorder="1" applyFont="1">
      <alignment horizontal="right" shrinkToFit="0" wrapText="1"/>
    </xf>
    <xf borderId="0" fillId="7" fontId="3" numFmtId="0" xfId="0" applyAlignment="1" applyFont="1">
      <alignment horizontal="center" readingOrder="0" shrinkToFit="0" wrapText="1"/>
    </xf>
    <xf borderId="70" fillId="0" fontId="2" numFmtId="0" xfId="0" applyAlignment="1" applyBorder="1" applyFont="1">
      <alignment readingOrder="0" vertical="top"/>
    </xf>
    <xf borderId="70" fillId="0" fontId="4" numFmtId="0" xfId="0" applyBorder="1" applyFont="1"/>
    <xf borderId="0" fillId="0" fontId="3" numFmtId="0" xfId="0" applyAlignment="1" applyFont="1">
      <alignment horizontal="center" readingOrder="0"/>
    </xf>
    <xf borderId="71" fillId="0" fontId="2" numFmtId="0" xfId="0" applyAlignment="1" applyBorder="1" applyFont="1">
      <alignment readingOrder="0" vertical="top"/>
    </xf>
    <xf borderId="72" fillId="0" fontId="4" numFmtId="0" xfId="0" applyBorder="1" applyFont="1"/>
    <xf borderId="73" fillId="4" fontId="3" numFmtId="0" xfId="0" applyAlignment="1" applyBorder="1" applyFont="1">
      <alignment horizontal="center" readingOrder="0" shrinkToFit="0" wrapText="1"/>
    </xf>
    <xf borderId="42" fillId="0" fontId="2" numFmtId="0" xfId="0" applyAlignment="1" applyBorder="1" applyFont="1">
      <alignment horizontal="center" readingOrder="0" shrinkToFit="0" wrapText="1"/>
    </xf>
    <xf borderId="48" fillId="0" fontId="9" numFmtId="0" xfId="0" applyAlignment="1" applyBorder="1" applyFon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62" Type="http://schemas.openxmlformats.org/officeDocument/2006/relationships/worksheet" Target="worksheets/sheet59.xml"/><Relationship Id="rId61" Type="http://schemas.openxmlformats.org/officeDocument/2006/relationships/worksheet" Target="worksheets/sheet58.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60" Type="http://schemas.openxmlformats.org/officeDocument/2006/relationships/worksheet" Target="worksheets/sheet57.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11" Type="http://schemas.openxmlformats.org/officeDocument/2006/relationships/worksheet" Target="worksheets/sheet8.xml"/><Relationship Id="rId55" Type="http://schemas.openxmlformats.org/officeDocument/2006/relationships/worksheet" Target="worksheets/sheet52.xml"/><Relationship Id="rId10" Type="http://schemas.openxmlformats.org/officeDocument/2006/relationships/worksheet" Target="worksheets/sheet7.xml"/><Relationship Id="rId54" Type="http://schemas.openxmlformats.org/officeDocument/2006/relationships/worksheet" Target="worksheets/sheet51.xml"/><Relationship Id="rId13" Type="http://schemas.openxmlformats.org/officeDocument/2006/relationships/worksheet" Target="worksheets/sheet10.xml"/><Relationship Id="rId57" Type="http://schemas.openxmlformats.org/officeDocument/2006/relationships/worksheet" Target="worksheets/sheet54.xml"/><Relationship Id="rId12" Type="http://schemas.openxmlformats.org/officeDocument/2006/relationships/worksheet" Target="worksheets/sheet9.xml"/><Relationship Id="rId56" Type="http://schemas.openxmlformats.org/officeDocument/2006/relationships/worksheet" Target="worksheets/sheet53.xml"/><Relationship Id="rId15" Type="http://schemas.openxmlformats.org/officeDocument/2006/relationships/worksheet" Target="worksheets/sheet12.xml"/><Relationship Id="rId59" Type="http://schemas.openxmlformats.org/officeDocument/2006/relationships/worksheet" Target="worksheets/sheet56.xml"/><Relationship Id="rId14" Type="http://schemas.openxmlformats.org/officeDocument/2006/relationships/worksheet" Target="worksheets/sheet11.xml"/><Relationship Id="rId58" Type="http://schemas.openxmlformats.org/officeDocument/2006/relationships/worksheet" Target="worksheets/sheet55.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2</xdr:row>
      <xdr:rowOff>0</xdr:rowOff>
    </xdr:from>
    <xdr:ext cx="742950" cy="4000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F35358"/>
      </a:dk1>
      <a:lt1>
        <a:srgbClr val="ABDFE8"/>
      </a:lt1>
      <a:dk2>
        <a:srgbClr val="F35358"/>
      </a:dk2>
      <a:lt2>
        <a:srgbClr val="ABDFE8"/>
      </a:lt2>
      <a:accent1>
        <a:srgbClr val="4D9BA8"/>
      </a:accent1>
      <a:accent2>
        <a:srgbClr val="F35358"/>
      </a:accent2>
      <a:accent3>
        <a:srgbClr val="D1C7C4"/>
      </a:accent3>
      <a:accent4>
        <a:srgbClr val="ABDFE8"/>
      </a:accent4>
      <a:accent5>
        <a:srgbClr val="FFFFFF"/>
      </a:accent5>
      <a:accent6>
        <a:srgbClr val="FFFFFF"/>
      </a:accent6>
      <a:hlink>
        <a:srgbClr val="4D9BA8"/>
      </a:hlink>
      <a:folHlink>
        <a:srgbClr val="4D9BA8"/>
      </a:folHlink>
    </a:clrScheme>
    <a:fontScheme name="Sheets">
      <a:majorFont>
        <a:latin typeface="Courier New"/>
        <a:ea typeface="Courier New"/>
        <a:cs typeface="Courier New"/>
      </a:majorFont>
      <a:minorFont>
        <a:latin typeface="Courier New"/>
        <a:ea typeface="Courier New"/>
        <a:cs typeface="Courier Ne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Qeh0mIiutbjxj5okQG_QaZ1cQkJHoiDhE2CcGO-jQq4/copy"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9" width="18.88"/>
    <col customWidth="1" min="10" max="10" width="12.63"/>
  </cols>
  <sheetData>
    <row r="1">
      <c r="A1" s="1"/>
      <c r="B1" s="1"/>
      <c r="C1" s="1"/>
      <c r="D1" s="2"/>
      <c r="E1" s="3"/>
      <c r="F1" s="3"/>
      <c r="G1" s="3"/>
      <c r="H1" s="2"/>
      <c r="I1" s="1"/>
      <c r="J1" s="2"/>
    </row>
    <row r="2">
      <c r="A2" s="1"/>
      <c r="B2" s="4" t="s">
        <v>0</v>
      </c>
      <c r="C2" s="5"/>
      <c r="D2" s="1"/>
      <c r="E2" s="1"/>
      <c r="F2" s="1"/>
      <c r="G2" s="1"/>
      <c r="H2" s="1"/>
      <c r="I2" s="1"/>
      <c r="J2" s="2"/>
    </row>
    <row r="3" ht="31.5" customHeight="1">
      <c r="A3" s="2"/>
      <c r="B3" s="6" t="b">
        <v>0</v>
      </c>
      <c r="C3" s="7" t="s">
        <v>1</v>
      </c>
      <c r="D3" s="8"/>
      <c r="E3" s="8"/>
      <c r="F3" s="9"/>
      <c r="G3" s="10"/>
      <c r="J3" s="10"/>
    </row>
    <row r="4" ht="31.5" customHeight="1">
      <c r="A4" s="2"/>
      <c r="B4" s="11" t="b">
        <v>0</v>
      </c>
      <c r="C4" s="12" t="s">
        <v>2</v>
      </c>
      <c r="F4" s="13"/>
      <c r="J4" s="10"/>
    </row>
    <row r="5" ht="31.5" customHeight="1">
      <c r="A5" s="2"/>
      <c r="B5" s="14" t="b">
        <v>0</v>
      </c>
      <c r="C5" s="15" t="s">
        <v>3</v>
      </c>
      <c r="D5" s="16"/>
      <c r="E5" s="16"/>
      <c r="F5" s="17"/>
      <c r="J5" s="10"/>
    </row>
    <row r="6" ht="31.5" customHeight="1">
      <c r="A6" s="2"/>
      <c r="J6" s="10"/>
    </row>
    <row r="7">
      <c r="A7" s="2"/>
      <c r="B7" s="18"/>
      <c r="C7" s="18"/>
      <c r="D7" s="18"/>
      <c r="E7" s="18"/>
      <c r="F7" s="18"/>
      <c r="G7" s="18"/>
      <c r="H7" s="18"/>
      <c r="I7" s="18"/>
      <c r="J7" s="2"/>
    </row>
    <row r="8">
      <c r="A8" s="2"/>
      <c r="B8" s="1"/>
      <c r="C8" s="1"/>
      <c r="D8" s="1"/>
      <c r="E8" s="1"/>
      <c r="F8" s="19" t="s">
        <v>4</v>
      </c>
      <c r="G8" s="2"/>
      <c r="H8" s="2"/>
      <c r="I8" s="2"/>
      <c r="J8" s="1"/>
    </row>
    <row r="9">
      <c r="A9" s="2"/>
      <c r="B9" s="1"/>
      <c r="C9" s="1"/>
      <c r="D9" s="1"/>
      <c r="E9" s="1"/>
      <c r="F9" s="20" t="s">
        <v>5</v>
      </c>
      <c r="G9" s="8"/>
      <c r="H9" s="21" t="s">
        <v>6</v>
      </c>
      <c r="I9" s="9"/>
      <c r="J9" s="2"/>
    </row>
    <row r="10">
      <c r="A10" s="2"/>
      <c r="B10" s="22" t="s">
        <v>7</v>
      </c>
      <c r="C10" s="2"/>
      <c r="D10" s="2"/>
      <c r="E10" s="1"/>
      <c r="F10" s="23" t="s">
        <v>8</v>
      </c>
      <c r="G10" s="24"/>
      <c r="H10" s="25" t="s">
        <v>9</v>
      </c>
      <c r="I10" s="26"/>
      <c r="J10" s="2"/>
    </row>
    <row r="11">
      <c r="A11" s="2"/>
      <c r="B11" s="27" t="s">
        <v>10</v>
      </c>
      <c r="C11" s="28"/>
      <c r="D11" s="29"/>
      <c r="E11" s="1"/>
      <c r="F11" s="23" t="s">
        <v>11</v>
      </c>
      <c r="G11" s="30"/>
      <c r="H11" s="25" t="s">
        <v>12</v>
      </c>
      <c r="I11" s="26"/>
      <c r="J11" s="2"/>
    </row>
    <row r="12">
      <c r="A12" s="31"/>
      <c r="B12" s="32"/>
      <c r="C12" s="33"/>
      <c r="D12" s="34"/>
      <c r="E12" s="1"/>
      <c r="F12" s="23" t="s">
        <v>13</v>
      </c>
      <c r="G12" s="24"/>
      <c r="H12" s="25" t="s">
        <v>14</v>
      </c>
      <c r="I12" s="26"/>
      <c r="J12" s="2"/>
    </row>
    <row r="13">
      <c r="A13" s="2"/>
      <c r="B13" s="1"/>
      <c r="C13" s="1"/>
      <c r="D13" s="1"/>
      <c r="E13" s="1"/>
      <c r="F13" s="35"/>
      <c r="I13" s="13"/>
      <c r="J13" s="2"/>
    </row>
    <row r="14">
      <c r="A14" s="2"/>
      <c r="B14" s="1"/>
      <c r="C14" s="1"/>
      <c r="D14" s="1"/>
      <c r="E14" s="1"/>
      <c r="F14" s="23" t="s">
        <v>15</v>
      </c>
      <c r="G14" s="36"/>
      <c r="H14" s="25" t="s">
        <v>16</v>
      </c>
      <c r="I14" s="26"/>
      <c r="J14" s="2"/>
    </row>
    <row r="15">
      <c r="A15" s="2"/>
      <c r="B15" s="1"/>
      <c r="C15" s="1"/>
      <c r="D15" s="1"/>
      <c r="E15" s="1"/>
      <c r="F15" s="37"/>
      <c r="G15" s="16"/>
      <c r="H15" s="16"/>
      <c r="I15" s="17"/>
      <c r="J15" s="2"/>
    </row>
    <row r="16">
      <c r="A16" s="2"/>
      <c r="B16" s="1"/>
      <c r="C16" s="1"/>
      <c r="D16" s="1"/>
      <c r="E16" s="1"/>
      <c r="F16" s="1"/>
      <c r="G16" s="1"/>
      <c r="H16" s="1"/>
      <c r="I16" s="1"/>
      <c r="J16" s="2"/>
    </row>
    <row r="17">
      <c r="A17" s="2"/>
      <c r="B17" s="38" t="s">
        <v>17</v>
      </c>
      <c r="C17" s="39"/>
      <c r="D17" s="40"/>
      <c r="E17" s="40"/>
      <c r="F17" s="40"/>
      <c r="G17" s="40"/>
      <c r="H17" s="40"/>
      <c r="I17" s="40"/>
      <c r="J17" s="2"/>
    </row>
    <row r="18">
      <c r="A18" s="2"/>
      <c r="B18" s="41" t="s">
        <v>18</v>
      </c>
      <c r="C18" s="42"/>
      <c r="D18" s="42"/>
      <c r="E18" s="43"/>
      <c r="F18" s="44" t="s">
        <v>19</v>
      </c>
      <c r="G18" s="42"/>
      <c r="H18" s="42"/>
      <c r="I18" s="45"/>
      <c r="J18" s="2"/>
    </row>
    <row r="19">
      <c r="A19" s="2"/>
      <c r="B19" s="46" t="s">
        <v>20</v>
      </c>
      <c r="E19" s="47"/>
      <c r="F19" s="48" t="s">
        <v>21</v>
      </c>
      <c r="I19" s="49"/>
      <c r="J19" s="2"/>
    </row>
    <row r="20">
      <c r="A20" s="2"/>
      <c r="B20" s="50"/>
      <c r="E20" s="47"/>
      <c r="F20" s="51"/>
      <c r="I20" s="49"/>
      <c r="J20" s="2"/>
    </row>
    <row r="21">
      <c r="A21" s="2"/>
      <c r="B21" s="50"/>
      <c r="E21" s="47"/>
      <c r="F21" s="51"/>
      <c r="I21" s="49"/>
      <c r="J21" s="2"/>
    </row>
    <row r="22">
      <c r="A22" s="2"/>
      <c r="B22" s="50"/>
      <c r="E22" s="47"/>
      <c r="F22" s="51"/>
      <c r="I22" s="49"/>
      <c r="J22" s="1"/>
    </row>
    <row r="23">
      <c r="A23" s="2"/>
      <c r="B23" s="50"/>
      <c r="E23" s="47"/>
      <c r="F23" s="51"/>
      <c r="I23" s="49"/>
      <c r="J23" s="1"/>
    </row>
    <row r="24">
      <c r="A24" s="2"/>
      <c r="B24" s="50"/>
      <c r="E24" s="47"/>
      <c r="F24" s="51"/>
      <c r="I24" s="49"/>
      <c r="J24" s="1"/>
    </row>
    <row r="25">
      <c r="A25" s="2"/>
      <c r="B25" s="50"/>
      <c r="E25" s="47"/>
      <c r="F25" s="51"/>
      <c r="I25" s="49"/>
      <c r="J25" s="1"/>
    </row>
    <row r="26">
      <c r="A26" s="2"/>
      <c r="B26" s="50"/>
      <c r="E26" s="47"/>
      <c r="F26" s="51"/>
      <c r="I26" s="49"/>
      <c r="J26" s="1"/>
    </row>
    <row r="27">
      <c r="A27" s="2"/>
      <c r="B27" s="50"/>
      <c r="E27" s="47"/>
      <c r="F27" s="51"/>
      <c r="I27" s="49"/>
      <c r="J27" s="1"/>
    </row>
    <row r="28">
      <c r="A28" s="2"/>
      <c r="B28" s="50"/>
      <c r="E28" s="47"/>
      <c r="F28" s="51"/>
      <c r="I28" s="49"/>
      <c r="J28" s="1"/>
    </row>
    <row r="29">
      <c r="A29" s="2"/>
      <c r="B29" s="52"/>
      <c r="C29" s="53"/>
      <c r="D29" s="53"/>
      <c r="E29" s="54"/>
      <c r="F29" s="55"/>
      <c r="G29" s="53"/>
      <c r="H29" s="53"/>
      <c r="I29" s="56"/>
      <c r="J29" s="1"/>
    </row>
    <row r="30">
      <c r="A30" s="2"/>
      <c r="B30" s="18"/>
      <c r="C30" s="18"/>
      <c r="D30" s="18"/>
      <c r="E30" s="18"/>
      <c r="F30" s="18"/>
      <c r="G30" s="18"/>
      <c r="H30" s="18"/>
      <c r="I30" s="18"/>
      <c r="J30" s="1"/>
    </row>
  </sheetData>
  <mergeCells count="22">
    <mergeCell ref="B2:C2"/>
    <mergeCell ref="C3:F3"/>
    <mergeCell ref="G3:I6"/>
    <mergeCell ref="C4:F4"/>
    <mergeCell ref="C5:F5"/>
    <mergeCell ref="F9:G9"/>
    <mergeCell ref="H9:I9"/>
    <mergeCell ref="G14:G15"/>
    <mergeCell ref="H14:H15"/>
    <mergeCell ref="F18:I18"/>
    <mergeCell ref="F19:I29"/>
    <mergeCell ref="B12:D12"/>
    <mergeCell ref="B17:C17"/>
    <mergeCell ref="B18:E18"/>
    <mergeCell ref="B19:E29"/>
    <mergeCell ref="B11:D11"/>
    <mergeCell ref="F12:F13"/>
    <mergeCell ref="G12:G13"/>
    <mergeCell ref="H12:H13"/>
    <mergeCell ref="I12:I13"/>
    <mergeCell ref="F14:F15"/>
    <mergeCell ref="I14:I15"/>
  </mergeCells>
  <dataValidations>
    <dataValidation type="custom" allowBlank="1" showDropDown="1" sqref="G11 G14">
      <formula1>OR(NOT(ISERROR(DATEVALUE(G11))), AND(ISNUMBER(G11), LEFT(CELL("format", G11))="D"))</formula1>
    </dataValidation>
    <dataValidation type="list" allowBlank="1" showErrorMessage="1" sqref="B12">
      <formula1>"Quarter,Trimester,Semester,Year"</formula1>
    </dataValidation>
  </dataValidations>
  <hyperlinks>
    <hyperlink r:id="rId1" ref="C3"/>
  </hyperlinks>
  <printOptions gridLines="1" horizontalCentered="1"/>
  <pageMargins bottom="0.75" footer="0.0" header="0.0" left="0.7" right="0.7" top="0.75"/>
  <pageSetup fitToHeight="0" cellComments="atEnd" orientation="portrait"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5" width="18.88"/>
  </cols>
  <sheetData>
    <row r="1" ht="31.5" customHeight="1">
      <c r="A1" s="57"/>
      <c r="B1" s="58" t="s">
        <v>5</v>
      </c>
      <c r="D1" s="58" t="s">
        <v>6</v>
      </c>
      <c r="F1" s="57"/>
    </row>
    <row r="2" ht="15.75" customHeight="1">
      <c r="A2" s="57"/>
      <c r="B2" s="59" t="s">
        <v>8</v>
      </c>
      <c r="C2" s="60" t="str">
        <f>'Getting Started'!$G$10</f>
        <v/>
      </c>
      <c r="D2" s="59" t="s">
        <v>9</v>
      </c>
      <c r="E2" s="60" t="str">
        <f>'Getting Started'!$I$10</f>
        <v/>
      </c>
      <c r="F2" s="57"/>
    </row>
    <row r="3" ht="15.75" customHeight="1">
      <c r="A3" s="57"/>
      <c r="B3" s="59" t="s">
        <v>11</v>
      </c>
      <c r="C3" s="61" t="str">
        <f>'Getting Started'!$G$11</f>
        <v/>
      </c>
      <c r="D3" s="59" t="s">
        <v>12</v>
      </c>
      <c r="E3" s="60" t="str">
        <f>'Getting Started'!$I$11</f>
        <v/>
      </c>
      <c r="F3" s="57"/>
    </row>
    <row r="4" ht="31.5" customHeight="1">
      <c r="A4" s="57"/>
      <c r="B4" s="59" t="s">
        <v>13</v>
      </c>
      <c r="C4" s="60" t="str">
        <f>'Getting Started'!$G$12</f>
        <v/>
      </c>
      <c r="D4" s="59" t="s">
        <v>14</v>
      </c>
      <c r="E4" s="60" t="str">
        <f>'Getting Started'!$I$12</f>
        <v/>
      </c>
      <c r="F4" s="57"/>
    </row>
    <row r="5" ht="31.5" customHeight="1">
      <c r="A5" s="57"/>
      <c r="B5" s="59" t="s">
        <v>15</v>
      </c>
      <c r="C5" s="62" t="str">
        <f>'Getting Started'!$G$14</f>
        <v/>
      </c>
      <c r="D5" s="59" t="s">
        <v>16</v>
      </c>
      <c r="E5" s="60" t="str">
        <f>'Getting Started'!$I$14</f>
        <v/>
      </c>
      <c r="F5" s="57"/>
    </row>
    <row r="6" ht="31.5" customHeight="1">
      <c r="A6" s="57"/>
      <c r="B6" s="63" t="s">
        <v>22</v>
      </c>
      <c r="C6" s="63" t="s">
        <v>23</v>
      </c>
      <c r="D6" s="63" t="s">
        <v>24</v>
      </c>
      <c r="E6" s="63" t="s">
        <v>25</v>
      </c>
      <c r="F6" s="57"/>
    </row>
    <row r="7" ht="31.5" customHeight="1">
      <c r="A7" s="57"/>
      <c r="B7" s="64"/>
      <c r="C7" s="64"/>
      <c r="D7" s="64"/>
      <c r="E7" s="64"/>
      <c r="F7" s="57"/>
    </row>
    <row r="8" ht="31.5" customHeight="1">
      <c r="A8" s="57"/>
      <c r="B8" s="64"/>
      <c r="C8" s="64"/>
      <c r="D8" s="64"/>
      <c r="E8" s="64"/>
      <c r="F8" s="57"/>
    </row>
    <row r="9" ht="31.5" customHeight="1">
      <c r="A9" s="57"/>
      <c r="B9" s="64"/>
      <c r="C9" s="64"/>
      <c r="D9" s="64"/>
      <c r="E9" s="64"/>
      <c r="F9" s="57"/>
    </row>
    <row r="10" ht="31.5" customHeight="1">
      <c r="A10" s="57"/>
      <c r="B10" s="64"/>
      <c r="C10" s="64"/>
      <c r="D10" s="64"/>
      <c r="E10" s="64"/>
      <c r="F10" s="57"/>
    </row>
    <row r="11" ht="31.5" customHeight="1">
      <c r="A11" s="57"/>
      <c r="B11" s="64"/>
      <c r="C11" s="64"/>
      <c r="D11" s="64"/>
      <c r="E11" s="64"/>
      <c r="F11" s="57"/>
    </row>
    <row r="12" ht="31.5" customHeight="1">
      <c r="A12" s="57"/>
      <c r="B12" s="64"/>
      <c r="C12" s="64"/>
      <c r="D12" s="64"/>
      <c r="E12" s="64"/>
      <c r="F12" s="57"/>
    </row>
    <row r="13" ht="31.5" customHeight="1">
      <c r="A13" s="57"/>
      <c r="B13" s="64"/>
      <c r="C13" s="64"/>
      <c r="D13" s="64"/>
      <c r="E13" s="64"/>
      <c r="F13" s="57"/>
    </row>
    <row r="14" ht="31.5" customHeight="1">
      <c r="A14" s="57"/>
      <c r="B14" s="64"/>
      <c r="C14" s="64"/>
      <c r="D14" s="64"/>
      <c r="E14" s="64"/>
      <c r="F14" s="57"/>
    </row>
    <row r="15" ht="31.5" customHeight="1">
      <c r="A15" s="57"/>
      <c r="B15" s="64"/>
      <c r="C15" s="64"/>
      <c r="D15" s="64"/>
      <c r="E15" s="64"/>
      <c r="F15" s="57"/>
    </row>
    <row r="16" ht="31.5" customHeight="1">
      <c r="A16" s="57"/>
      <c r="B16" s="64"/>
      <c r="C16" s="64"/>
      <c r="D16" s="64"/>
      <c r="E16" s="64"/>
      <c r="F16" s="57"/>
    </row>
    <row r="17" ht="31.5" customHeight="1">
      <c r="A17" s="57"/>
      <c r="B17" s="64"/>
      <c r="C17" s="64"/>
      <c r="D17" s="64"/>
      <c r="E17" s="64"/>
      <c r="F17" s="57"/>
    </row>
    <row r="18" ht="31.5" customHeight="1">
      <c r="A18" s="57"/>
      <c r="B18" s="64"/>
      <c r="C18" s="64"/>
      <c r="D18" s="64"/>
      <c r="E18" s="64"/>
      <c r="F18" s="57"/>
    </row>
    <row r="19" ht="31.5" customHeight="1">
      <c r="A19" s="57"/>
      <c r="B19" s="64"/>
      <c r="C19" s="64"/>
      <c r="D19" s="64"/>
      <c r="E19" s="64"/>
      <c r="F19" s="57"/>
    </row>
    <row r="20" ht="31.5" customHeight="1">
      <c r="A20" s="57"/>
      <c r="B20" s="64"/>
      <c r="C20" s="64"/>
      <c r="D20" s="64"/>
      <c r="E20" s="64"/>
      <c r="F20" s="57"/>
    </row>
    <row r="21" ht="31.5" customHeight="1">
      <c r="A21" s="57"/>
      <c r="B21" s="64"/>
      <c r="C21" s="64"/>
      <c r="D21" s="64"/>
      <c r="E21" s="64"/>
      <c r="F21" s="57"/>
    </row>
    <row r="22" ht="31.5" customHeight="1">
      <c r="A22" s="57"/>
      <c r="B22" s="64"/>
      <c r="C22" s="64"/>
      <c r="D22" s="64"/>
      <c r="E22" s="64"/>
      <c r="F22" s="57"/>
    </row>
    <row r="23" ht="31.5" customHeight="1">
      <c r="A23" s="57"/>
      <c r="B23" s="64"/>
      <c r="C23" s="64"/>
      <c r="D23" s="64"/>
      <c r="E23" s="64"/>
      <c r="F23" s="57"/>
    </row>
    <row r="24" ht="31.5" customHeight="1">
      <c r="A24" s="57"/>
      <c r="B24" s="64"/>
      <c r="C24" s="64"/>
      <c r="D24" s="64"/>
      <c r="E24" s="64"/>
      <c r="F24" s="57"/>
    </row>
    <row r="25" ht="31.5" customHeight="1">
      <c r="A25" s="57"/>
      <c r="B25" s="64"/>
      <c r="C25" s="64"/>
      <c r="D25" s="64"/>
      <c r="E25" s="64"/>
      <c r="F25" s="57"/>
    </row>
    <row r="26" ht="31.5" customHeight="1">
      <c r="A26" s="65" t="s">
        <v>26</v>
      </c>
    </row>
    <row r="27" ht="15.75" customHeight="1">
      <c r="A27" s="57"/>
      <c r="B27" s="57"/>
      <c r="C27" s="57"/>
      <c r="D27" s="57"/>
      <c r="E27" s="57"/>
      <c r="F27" s="57"/>
    </row>
    <row r="28" ht="31.5" customHeight="1">
      <c r="A28" s="57"/>
      <c r="B28" s="58" t="s">
        <v>5</v>
      </c>
      <c r="D28" s="58" t="s">
        <v>6</v>
      </c>
      <c r="F28" s="57"/>
    </row>
    <row r="29" ht="15.75" customHeight="1">
      <c r="A29" s="57"/>
      <c r="B29" s="59" t="s">
        <v>8</v>
      </c>
      <c r="C29" s="60" t="str">
        <f>'Getting Started'!$G$10</f>
        <v/>
      </c>
      <c r="D29" s="59" t="s">
        <v>9</v>
      </c>
      <c r="E29" s="60" t="str">
        <f>'Getting Started'!$I$10</f>
        <v/>
      </c>
      <c r="F29" s="57"/>
    </row>
    <row r="30" ht="15.75" customHeight="1">
      <c r="A30" s="57"/>
      <c r="B30" s="59" t="s">
        <v>11</v>
      </c>
      <c r="C30" s="61" t="str">
        <f>'Getting Started'!$G$11</f>
        <v/>
      </c>
      <c r="D30" s="59" t="s">
        <v>12</v>
      </c>
      <c r="E30" s="60" t="str">
        <f>'Getting Started'!$I$11</f>
        <v/>
      </c>
      <c r="F30" s="57"/>
    </row>
    <row r="31" ht="31.5" customHeight="1">
      <c r="A31" s="57"/>
      <c r="B31" s="59" t="s">
        <v>13</v>
      </c>
      <c r="C31" s="60" t="str">
        <f>'Getting Started'!$G$12</f>
        <v/>
      </c>
      <c r="D31" s="59" t="s">
        <v>14</v>
      </c>
      <c r="E31" s="60" t="str">
        <f>'Getting Started'!$I$12</f>
        <v/>
      </c>
      <c r="F31" s="57"/>
    </row>
    <row r="32" ht="31.5" customHeight="1">
      <c r="A32" s="57"/>
      <c r="B32" s="59" t="s">
        <v>15</v>
      </c>
      <c r="C32" s="62" t="str">
        <f>'Getting Started'!$G$14</f>
        <v/>
      </c>
      <c r="D32" s="59" t="s">
        <v>16</v>
      </c>
      <c r="E32" s="60" t="str">
        <f>'Getting Started'!$I$14</f>
        <v/>
      </c>
      <c r="F32" s="57"/>
    </row>
    <row r="33" ht="31.5" customHeight="1">
      <c r="A33" s="57"/>
      <c r="B33" s="63" t="s">
        <v>22</v>
      </c>
      <c r="C33" s="63" t="s">
        <v>23</v>
      </c>
      <c r="D33" s="63" t="s">
        <v>24</v>
      </c>
      <c r="E33" s="63" t="s">
        <v>25</v>
      </c>
      <c r="F33" s="57"/>
    </row>
    <row r="34" ht="31.5" customHeight="1">
      <c r="A34" s="57"/>
      <c r="B34" s="64"/>
      <c r="C34" s="64"/>
      <c r="D34" s="64"/>
      <c r="E34" s="64"/>
      <c r="F34" s="57"/>
    </row>
    <row r="35" ht="31.5" customHeight="1">
      <c r="A35" s="57"/>
      <c r="B35" s="64"/>
      <c r="C35" s="64"/>
      <c r="D35" s="64"/>
      <c r="E35" s="64"/>
      <c r="F35" s="57"/>
    </row>
    <row r="36" ht="31.5" customHeight="1">
      <c r="A36" s="57"/>
      <c r="B36" s="64"/>
      <c r="C36" s="64"/>
      <c r="D36" s="64"/>
      <c r="E36" s="64"/>
      <c r="F36" s="57"/>
    </row>
    <row r="37" ht="31.5" customHeight="1">
      <c r="A37" s="57"/>
      <c r="B37" s="64"/>
      <c r="C37" s="64"/>
      <c r="D37" s="64"/>
      <c r="E37" s="64"/>
      <c r="F37" s="57"/>
    </row>
    <row r="38" ht="31.5" customHeight="1">
      <c r="A38" s="57"/>
      <c r="B38" s="64"/>
      <c r="C38" s="64"/>
      <c r="D38" s="64"/>
      <c r="E38" s="64"/>
      <c r="F38" s="57"/>
    </row>
    <row r="39" ht="31.5" customHeight="1">
      <c r="A39" s="57"/>
      <c r="B39" s="64"/>
      <c r="C39" s="64"/>
      <c r="D39" s="64"/>
      <c r="E39" s="64"/>
      <c r="F39" s="57"/>
    </row>
    <row r="40" ht="31.5" customHeight="1">
      <c r="A40" s="57"/>
      <c r="B40" s="64"/>
      <c r="C40" s="64"/>
      <c r="D40" s="64"/>
      <c r="E40" s="64"/>
      <c r="F40" s="57"/>
    </row>
    <row r="41" ht="31.5" customHeight="1">
      <c r="A41" s="57"/>
      <c r="B41" s="64"/>
      <c r="C41" s="64"/>
      <c r="D41" s="64"/>
      <c r="E41" s="64"/>
      <c r="F41" s="57"/>
    </row>
    <row r="42" ht="31.5" customHeight="1">
      <c r="A42" s="57"/>
      <c r="B42" s="64"/>
      <c r="C42" s="64"/>
      <c r="D42" s="64"/>
      <c r="E42" s="64"/>
      <c r="F42" s="57"/>
    </row>
    <row r="43" ht="31.5" customHeight="1">
      <c r="A43" s="57"/>
      <c r="B43" s="64"/>
      <c r="C43" s="64"/>
      <c r="D43" s="64"/>
      <c r="E43" s="64"/>
      <c r="F43" s="57"/>
    </row>
    <row r="44" ht="31.5" customHeight="1">
      <c r="A44" s="57"/>
      <c r="B44" s="64"/>
      <c r="C44" s="64"/>
      <c r="D44" s="64"/>
      <c r="E44" s="64"/>
      <c r="F44" s="57"/>
    </row>
    <row r="45" ht="31.5" customHeight="1">
      <c r="A45" s="57"/>
      <c r="B45" s="64"/>
      <c r="C45" s="64"/>
      <c r="D45" s="64"/>
      <c r="E45" s="64"/>
      <c r="F45" s="57"/>
    </row>
    <row r="46" ht="31.5" customHeight="1">
      <c r="A46" s="57"/>
      <c r="B46" s="64"/>
      <c r="C46" s="64"/>
      <c r="D46" s="64"/>
      <c r="E46" s="64"/>
      <c r="F46" s="57"/>
    </row>
    <row r="47" ht="31.5" customHeight="1">
      <c r="A47" s="57"/>
      <c r="B47" s="64"/>
      <c r="C47" s="64"/>
      <c r="D47" s="64"/>
      <c r="E47" s="64"/>
      <c r="F47" s="57"/>
    </row>
    <row r="48" ht="31.5" customHeight="1">
      <c r="A48" s="57"/>
      <c r="B48" s="64"/>
      <c r="C48" s="64"/>
      <c r="D48" s="64"/>
      <c r="E48" s="64"/>
      <c r="F48" s="57"/>
    </row>
    <row r="49" ht="31.5" customHeight="1">
      <c r="A49" s="57"/>
      <c r="B49" s="64"/>
      <c r="C49" s="64"/>
      <c r="D49" s="64"/>
      <c r="E49" s="64"/>
      <c r="F49" s="57"/>
    </row>
    <row r="50" ht="31.5" customHeight="1">
      <c r="A50" s="57"/>
      <c r="B50" s="64"/>
      <c r="C50" s="64"/>
      <c r="D50" s="64"/>
      <c r="E50" s="64"/>
      <c r="F50" s="57"/>
    </row>
    <row r="51" ht="31.5" customHeight="1">
      <c r="A51" s="57"/>
      <c r="B51" s="64"/>
      <c r="C51" s="64"/>
      <c r="D51" s="64"/>
      <c r="E51" s="64"/>
      <c r="F51" s="57"/>
    </row>
    <row r="52" ht="31.5" customHeight="1">
      <c r="A52" s="57"/>
      <c r="B52" s="64"/>
      <c r="C52" s="64"/>
      <c r="D52" s="64"/>
      <c r="E52" s="64"/>
      <c r="F52" s="57"/>
    </row>
    <row r="53" ht="31.5" customHeight="1">
      <c r="A53" s="65" t="s">
        <v>27</v>
      </c>
    </row>
    <row r="54" ht="15.75" customHeight="1">
      <c r="A54" s="57"/>
      <c r="B54" s="57"/>
      <c r="C54" s="57"/>
      <c r="D54" s="57"/>
      <c r="E54" s="57"/>
      <c r="F54" s="57"/>
    </row>
    <row r="55" ht="31.5" customHeight="1">
      <c r="A55" s="57"/>
      <c r="B55" s="58" t="s">
        <v>5</v>
      </c>
      <c r="D55" s="58" t="s">
        <v>6</v>
      </c>
      <c r="F55" s="57"/>
    </row>
    <row r="56" ht="15.75" customHeight="1">
      <c r="A56" s="57"/>
      <c r="B56" s="59" t="s">
        <v>8</v>
      </c>
      <c r="C56" s="60" t="str">
        <f>'Getting Started'!$G$10</f>
        <v/>
      </c>
      <c r="D56" s="59" t="s">
        <v>9</v>
      </c>
      <c r="E56" s="60" t="str">
        <f>'Getting Started'!$I$10</f>
        <v/>
      </c>
      <c r="F56" s="57"/>
    </row>
    <row r="57" ht="15.75" customHeight="1">
      <c r="A57" s="57"/>
      <c r="B57" s="59" t="s">
        <v>11</v>
      </c>
      <c r="C57" s="61" t="str">
        <f>'Getting Started'!$G$11</f>
        <v/>
      </c>
      <c r="D57" s="59" t="s">
        <v>12</v>
      </c>
      <c r="E57" s="60" t="str">
        <f>'Getting Started'!$I$11</f>
        <v/>
      </c>
      <c r="F57" s="57"/>
    </row>
    <row r="58" ht="31.5" customHeight="1">
      <c r="A58" s="57"/>
      <c r="B58" s="59" t="s">
        <v>13</v>
      </c>
      <c r="C58" s="60" t="str">
        <f>'Getting Started'!$G$12</f>
        <v/>
      </c>
      <c r="D58" s="59" t="s">
        <v>14</v>
      </c>
      <c r="E58" s="60" t="str">
        <f>'Getting Started'!$I$12</f>
        <v/>
      </c>
      <c r="F58" s="57"/>
    </row>
    <row r="59" ht="31.5" customHeight="1">
      <c r="A59" s="57"/>
      <c r="B59" s="59" t="s">
        <v>15</v>
      </c>
      <c r="C59" s="62" t="str">
        <f>'Getting Started'!$G$14</f>
        <v/>
      </c>
      <c r="D59" s="59" t="s">
        <v>16</v>
      </c>
      <c r="E59" s="60" t="str">
        <f>'Getting Started'!$I$14</f>
        <v/>
      </c>
      <c r="F59" s="57"/>
    </row>
    <row r="60" ht="31.5" customHeight="1">
      <c r="A60" s="57"/>
      <c r="B60" s="63" t="s">
        <v>22</v>
      </c>
      <c r="C60" s="63" t="s">
        <v>23</v>
      </c>
      <c r="D60" s="63" t="s">
        <v>24</v>
      </c>
      <c r="E60" s="63" t="s">
        <v>25</v>
      </c>
      <c r="F60" s="57"/>
    </row>
    <row r="61" ht="31.5" customHeight="1">
      <c r="A61" s="57"/>
      <c r="B61" s="64"/>
      <c r="C61" s="64"/>
      <c r="D61" s="64"/>
      <c r="E61" s="64"/>
      <c r="F61" s="57"/>
    </row>
    <row r="62" ht="31.5" customHeight="1">
      <c r="A62" s="57"/>
      <c r="B62" s="64"/>
      <c r="C62" s="64"/>
      <c r="D62" s="64"/>
      <c r="E62" s="64"/>
      <c r="F62" s="57"/>
    </row>
    <row r="63" ht="31.5" customHeight="1">
      <c r="A63" s="57"/>
      <c r="B63" s="64"/>
      <c r="C63" s="64"/>
      <c r="D63" s="64"/>
      <c r="E63" s="64"/>
      <c r="F63" s="57"/>
    </row>
    <row r="64" ht="31.5" customHeight="1">
      <c r="A64" s="57"/>
      <c r="B64" s="64"/>
      <c r="C64" s="64"/>
      <c r="D64" s="64"/>
      <c r="E64" s="64"/>
      <c r="F64" s="57"/>
    </row>
    <row r="65" ht="31.5" customHeight="1">
      <c r="A65" s="57"/>
      <c r="B65" s="64"/>
      <c r="C65" s="64"/>
      <c r="D65" s="64"/>
      <c r="E65" s="64"/>
      <c r="F65" s="57"/>
    </row>
    <row r="66" ht="31.5" customHeight="1">
      <c r="A66" s="57"/>
      <c r="B66" s="64"/>
      <c r="C66" s="64"/>
      <c r="D66" s="64"/>
      <c r="E66" s="64"/>
      <c r="F66" s="57"/>
    </row>
    <row r="67" ht="31.5" customHeight="1">
      <c r="A67" s="57"/>
      <c r="B67" s="64"/>
      <c r="C67" s="64"/>
      <c r="D67" s="64"/>
      <c r="E67" s="64"/>
      <c r="F67" s="57"/>
    </row>
    <row r="68" ht="31.5" customHeight="1">
      <c r="A68" s="57"/>
      <c r="B68" s="64"/>
      <c r="C68" s="64"/>
      <c r="D68" s="64"/>
      <c r="E68" s="64"/>
      <c r="F68" s="57"/>
    </row>
    <row r="69" ht="31.5" customHeight="1">
      <c r="A69" s="57"/>
      <c r="B69" s="64"/>
      <c r="C69" s="64"/>
      <c r="D69" s="64"/>
      <c r="E69" s="64"/>
      <c r="F69" s="57"/>
    </row>
    <row r="70" ht="31.5" customHeight="1">
      <c r="A70" s="57"/>
      <c r="B70" s="64"/>
      <c r="C70" s="64"/>
      <c r="D70" s="64"/>
      <c r="E70" s="64"/>
      <c r="F70" s="57"/>
    </row>
    <row r="71" ht="31.5" customHeight="1">
      <c r="A71" s="57"/>
      <c r="B71" s="64"/>
      <c r="C71" s="64"/>
      <c r="D71" s="64"/>
      <c r="E71" s="64"/>
      <c r="F71" s="57"/>
    </row>
    <row r="72" ht="31.5" customHeight="1">
      <c r="A72" s="57"/>
      <c r="B72" s="64"/>
      <c r="C72" s="64"/>
      <c r="D72" s="64"/>
      <c r="E72" s="64"/>
      <c r="F72" s="57"/>
    </row>
    <row r="73" ht="31.5" customHeight="1">
      <c r="A73" s="57"/>
      <c r="B73" s="64"/>
      <c r="C73" s="64"/>
      <c r="D73" s="64"/>
      <c r="E73" s="64"/>
      <c r="F73" s="57"/>
    </row>
    <row r="74" ht="31.5" customHeight="1">
      <c r="A74" s="57"/>
      <c r="B74" s="64"/>
      <c r="C74" s="64"/>
      <c r="D74" s="64"/>
      <c r="E74" s="64"/>
      <c r="F74" s="57"/>
    </row>
    <row r="75" ht="31.5" customHeight="1">
      <c r="A75" s="57"/>
      <c r="B75" s="64"/>
      <c r="C75" s="64"/>
      <c r="D75" s="64"/>
      <c r="E75" s="64"/>
      <c r="F75" s="57"/>
    </row>
    <row r="76" ht="31.5" customHeight="1">
      <c r="A76" s="57"/>
      <c r="B76" s="64"/>
      <c r="C76" s="64"/>
      <c r="D76" s="64"/>
      <c r="E76" s="64"/>
      <c r="F76" s="57"/>
    </row>
    <row r="77" ht="31.5" customHeight="1">
      <c r="A77" s="57"/>
      <c r="B77" s="64"/>
      <c r="C77" s="64"/>
      <c r="D77" s="64"/>
      <c r="E77" s="64"/>
      <c r="F77" s="57"/>
    </row>
    <row r="78" ht="31.5" customHeight="1">
      <c r="A78" s="57"/>
      <c r="B78" s="64"/>
      <c r="C78" s="64"/>
      <c r="D78" s="64"/>
      <c r="E78" s="64"/>
      <c r="F78" s="57"/>
    </row>
    <row r="79" ht="31.5" customHeight="1">
      <c r="A79" s="57"/>
      <c r="B79" s="64"/>
      <c r="C79" s="64"/>
      <c r="D79" s="64"/>
      <c r="E79" s="64"/>
      <c r="F79" s="57"/>
    </row>
    <row r="80" ht="31.5" customHeight="1">
      <c r="A80" s="65" t="s">
        <v>28</v>
      </c>
    </row>
    <row r="81" ht="15.75" customHeight="1">
      <c r="A81" s="57"/>
      <c r="B81" s="57"/>
      <c r="C81" s="57"/>
      <c r="D81" s="57"/>
      <c r="E81" s="57"/>
      <c r="F81" s="57"/>
    </row>
    <row r="82" ht="31.5" customHeight="1">
      <c r="A82" s="57"/>
      <c r="B82" s="58" t="s">
        <v>5</v>
      </c>
      <c r="D82" s="58" t="s">
        <v>6</v>
      </c>
      <c r="F82" s="57"/>
    </row>
    <row r="83" ht="15.75" customHeight="1">
      <c r="A83" s="57"/>
      <c r="B83" s="59" t="s">
        <v>8</v>
      </c>
      <c r="C83" s="60" t="str">
        <f>'Getting Started'!$G$10</f>
        <v/>
      </c>
      <c r="D83" s="59" t="s">
        <v>9</v>
      </c>
      <c r="E83" s="60" t="str">
        <f>'Getting Started'!$I$10</f>
        <v/>
      </c>
      <c r="F83" s="57"/>
    </row>
    <row r="84" ht="15.75" customHeight="1">
      <c r="A84" s="57"/>
      <c r="B84" s="59" t="s">
        <v>11</v>
      </c>
      <c r="C84" s="61" t="str">
        <f>'Getting Started'!$G$11</f>
        <v/>
      </c>
      <c r="D84" s="59" t="s">
        <v>12</v>
      </c>
      <c r="E84" s="60" t="str">
        <f>'Getting Started'!$I$11</f>
        <v/>
      </c>
      <c r="F84" s="57"/>
    </row>
    <row r="85" ht="31.5" customHeight="1">
      <c r="A85" s="57"/>
      <c r="B85" s="59" t="s">
        <v>13</v>
      </c>
      <c r="C85" s="60" t="str">
        <f>'Getting Started'!$G$12</f>
        <v/>
      </c>
      <c r="D85" s="59" t="s">
        <v>14</v>
      </c>
      <c r="E85" s="60" t="str">
        <f>'Getting Started'!$I$12</f>
        <v/>
      </c>
      <c r="F85" s="57"/>
    </row>
    <row r="86" ht="31.5" customHeight="1">
      <c r="A86" s="57"/>
      <c r="B86" s="59" t="s">
        <v>15</v>
      </c>
      <c r="C86" s="62" t="str">
        <f>'Getting Started'!$G$14</f>
        <v/>
      </c>
      <c r="D86" s="59" t="s">
        <v>16</v>
      </c>
      <c r="E86" s="60" t="str">
        <f>'Getting Started'!$I$14</f>
        <v/>
      </c>
      <c r="F86" s="57"/>
    </row>
    <row r="87" ht="31.5" customHeight="1">
      <c r="A87" s="57"/>
      <c r="B87" s="63" t="s">
        <v>22</v>
      </c>
      <c r="C87" s="63" t="s">
        <v>23</v>
      </c>
      <c r="D87" s="63" t="s">
        <v>24</v>
      </c>
      <c r="E87" s="63" t="s">
        <v>25</v>
      </c>
      <c r="F87" s="57"/>
    </row>
    <row r="88" ht="31.5" customHeight="1">
      <c r="A88" s="57"/>
      <c r="B88" s="64"/>
      <c r="C88" s="64"/>
      <c r="D88" s="64"/>
      <c r="E88" s="64"/>
      <c r="F88" s="57"/>
    </row>
    <row r="89" ht="31.5" customHeight="1">
      <c r="A89" s="57"/>
      <c r="B89" s="64"/>
      <c r="C89" s="64"/>
      <c r="D89" s="64"/>
      <c r="E89" s="64"/>
      <c r="F89" s="57"/>
    </row>
    <row r="90" ht="31.5" customHeight="1">
      <c r="A90" s="57"/>
      <c r="B90" s="64"/>
      <c r="C90" s="64"/>
      <c r="D90" s="64"/>
      <c r="E90" s="64"/>
      <c r="F90" s="57"/>
    </row>
    <row r="91" ht="31.5" customHeight="1">
      <c r="A91" s="57"/>
      <c r="B91" s="64"/>
      <c r="C91" s="64"/>
      <c r="D91" s="64"/>
      <c r="E91" s="64"/>
      <c r="F91" s="57"/>
    </row>
    <row r="92" ht="31.5" customHeight="1">
      <c r="A92" s="57"/>
      <c r="B92" s="64"/>
      <c r="C92" s="64"/>
      <c r="D92" s="64"/>
      <c r="E92" s="64"/>
      <c r="F92" s="57"/>
    </row>
    <row r="93" ht="31.5" customHeight="1">
      <c r="A93" s="57"/>
      <c r="B93" s="64"/>
      <c r="C93" s="64"/>
      <c r="D93" s="64"/>
      <c r="E93" s="64"/>
      <c r="F93" s="57"/>
    </row>
    <row r="94" ht="31.5" customHeight="1">
      <c r="A94" s="57"/>
      <c r="B94" s="64"/>
      <c r="C94" s="64"/>
      <c r="D94" s="64"/>
      <c r="E94" s="64"/>
      <c r="F94" s="57"/>
    </row>
    <row r="95" ht="31.5" customHeight="1">
      <c r="A95" s="57"/>
      <c r="B95" s="64"/>
      <c r="C95" s="64"/>
      <c r="D95" s="64"/>
      <c r="E95" s="64"/>
      <c r="F95" s="57"/>
    </row>
    <row r="96" ht="31.5" customHeight="1">
      <c r="A96" s="57"/>
      <c r="B96" s="64"/>
      <c r="C96" s="64"/>
      <c r="D96" s="64"/>
      <c r="E96" s="64"/>
      <c r="F96" s="57"/>
    </row>
    <row r="97" ht="31.5" customHeight="1">
      <c r="A97" s="57"/>
      <c r="B97" s="64"/>
      <c r="C97" s="64"/>
      <c r="D97" s="64"/>
      <c r="E97" s="64"/>
      <c r="F97" s="57"/>
    </row>
    <row r="98" ht="31.5" customHeight="1">
      <c r="A98" s="57"/>
      <c r="B98" s="64"/>
      <c r="C98" s="64"/>
      <c r="D98" s="64"/>
      <c r="E98" s="64"/>
      <c r="F98" s="57"/>
    </row>
    <row r="99" ht="31.5" customHeight="1">
      <c r="A99" s="57"/>
      <c r="B99" s="64"/>
      <c r="C99" s="64"/>
      <c r="D99" s="64"/>
      <c r="E99" s="64"/>
      <c r="F99" s="57"/>
    </row>
    <row r="100" ht="31.5" customHeight="1">
      <c r="A100" s="57"/>
      <c r="B100" s="64"/>
      <c r="C100" s="64"/>
      <c r="D100" s="64"/>
      <c r="E100" s="64"/>
      <c r="F100" s="57"/>
    </row>
    <row r="101" ht="31.5" customHeight="1">
      <c r="A101" s="57"/>
      <c r="B101" s="64"/>
      <c r="C101" s="64"/>
      <c r="D101" s="64"/>
      <c r="E101" s="64"/>
      <c r="F101" s="57"/>
    </row>
    <row r="102" ht="31.5" customHeight="1">
      <c r="A102" s="57"/>
      <c r="B102" s="64"/>
      <c r="C102" s="64"/>
      <c r="D102" s="64"/>
      <c r="E102" s="64"/>
      <c r="F102" s="57"/>
    </row>
    <row r="103" ht="31.5" customHeight="1">
      <c r="A103" s="57"/>
      <c r="B103" s="64"/>
      <c r="C103" s="64"/>
      <c r="D103" s="64"/>
      <c r="E103" s="64"/>
      <c r="F103" s="57"/>
    </row>
    <row r="104" ht="31.5" customHeight="1">
      <c r="A104" s="57"/>
      <c r="B104" s="64"/>
      <c r="C104" s="64"/>
      <c r="D104" s="64"/>
      <c r="E104" s="64"/>
      <c r="F104" s="57"/>
    </row>
    <row r="105" ht="31.5" customHeight="1">
      <c r="A105" s="57"/>
      <c r="B105" s="64"/>
      <c r="C105" s="64"/>
      <c r="D105" s="64"/>
      <c r="E105" s="64"/>
      <c r="F105" s="57"/>
    </row>
    <row r="106" ht="31.5" customHeight="1">
      <c r="A106" s="57"/>
      <c r="B106" s="64"/>
      <c r="C106" s="64"/>
      <c r="D106" s="64"/>
      <c r="E106" s="64"/>
      <c r="F106" s="57"/>
    </row>
    <row r="107" ht="31.5" customHeight="1">
      <c r="A107" s="65" t="s">
        <v>29</v>
      </c>
    </row>
    <row r="108" ht="15.75" customHeight="1">
      <c r="A108" s="57"/>
      <c r="B108" s="57"/>
      <c r="C108" s="57"/>
      <c r="D108" s="57"/>
      <c r="E108" s="57"/>
      <c r="F108" s="57"/>
    </row>
    <row r="109" ht="31.5" customHeight="1">
      <c r="A109" s="57"/>
      <c r="B109" s="58" t="s">
        <v>5</v>
      </c>
      <c r="D109" s="58" t="s">
        <v>6</v>
      </c>
      <c r="F109" s="57"/>
    </row>
    <row r="110" ht="15.75" customHeight="1">
      <c r="A110" s="57"/>
      <c r="B110" s="59" t="s">
        <v>8</v>
      </c>
      <c r="C110" s="60" t="str">
        <f>'Getting Started'!$G$10</f>
        <v/>
      </c>
      <c r="D110" s="59" t="s">
        <v>9</v>
      </c>
      <c r="E110" s="60" t="str">
        <f>'Getting Started'!$I$10</f>
        <v/>
      </c>
      <c r="F110" s="57"/>
    </row>
    <row r="111" ht="15.75" customHeight="1">
      <c r="A111" s="57"/>
      <c r="B111" s="59" t="s">
        <v>11</v>
      </c>
      <c r="C111" s="61" t="str">
        <f>'Getting Started'!$G$11</f>
        <v/>
      </c>
      <c r="D111" s="59" t="s">
        <v>12</v>
      </c>
      <c r="E111" s="60" t="str">
        <f>'Getting Started'!$I$11</f>
        <v/>
      </c>
      <c r="F111" s="57"/>
    </row>
    <row r="112" ht="31.5" customHeight="1">
      <c r="A112" s="57"/>
      <c r="B112" s="59" t="s">
        <v>13</v>
      </c>
      <c r="C112" s="60" t="str">
        <f>'Getting Started'!$G$12</f>
        <v/>
      </c>
      <c r="D112" s="59" t="s">
        <v>14</v>
      </c>
      <c r="E112" s="60" t="str">
        <f>'Getting Started'!$I$12</f>
        <v/>
      </c>
      <c r="F112" s="57"/>
    </row>
    <row r="113" ht="31.5" customHeight="1">
      <c r="A113" s="57"/>
      <c r="B113" s="59" t="s">
        <v>15</v>
      </c>
      <c r="C113" s="62" t="str">
        <f>'Getting Started'!$G$14</f>
        <v/>
      </c>
      <c r="D113" s="59" t="s">
        <v>16</v>
      </c>
      <c r="E113" s="60" t="str">
        <f>'Getting Started'!$I$14</f>
        <v/>
      </c>
      <c r="F113" s="57"/>
    </row>
    <row r="114" ht="31.5" customHeight="1">
      <c r="A114" s="57"/>
      <c r="B114" s="63" t="s">
        <v>22</v>
      </c>
      <c r="C114" s="63" t="s">
        <v>23</v>
      </c>
      <c r="D114" s="63" t="s">
        <v>24</v>
      </c>
      <c r="E114" s="63" t="s">
        <v>25</v>
      </c>
      <c r="F114" s="57"/>
    </row>
    <row r="115" ht="31.5" customHeight="1">
      <c r="A115" s="57"/>
      <c r="B115" s="64"/>
      <c r="C115" s="64"/>
      <c r="D115" s="64"/>
      <c r="E115" s="64"/>
      <c r="F115" s="57"/>
    </row>
    <row r="116" ht="31.5" customHeight="1">
      <c r="A116" s="57"/>
      <c r="B116" s="64"/>
      <c r="C116" s="64"/>
      <c r="D116" s="64"/>
      <c r="E116" s="64"/>
      <c r="F116" s="57"/>
    </row>
    <row r="117" ht="31.5" customHeight="1">
      <c r="A117" s="57"/>
      <c r="B117" s="64"/>
      <c r="C117" s="64"/>
      <c r="D117" s="64"/>
      <c r="E117" s="64"/>
      <c r="F117" s="57"/>
    </row>
    <row r="118" ht="31.5" customHeight="1">
      <c r="A118" s="57"/>
      <c r="B118" s="64"/>
      <c r="C118" s="64"/>
      <c r="D118" s="64"/>
      <c r="E118" s="64"/>
      <c r="F118" s="57"/>
    </row>
    <row r="119" ht="31.5" customHeight="1">
      <c r="A119" s="57"/>
      <c r="B119" s="64"/>
      <c r="C119" s="64"/>
      <c r="D119" s="64"/>
      <c r="E119" s="64"/>
      <c r="F119" s="57"/>
    </row>
    <row r="120" ht="31.5" customHeight="1">
      <c r="A120" s="57"/>
      <c r="B120" s="64"/>
      <c r="C120" s="64"/>
      <c r="D120" s="64"/>
      <c r="E120" s="64"/>
      <c r="F120" s="57"/>
    </row>
    <row r="121" ht="31.5" customHeight="1">
      <c r="A121" s="57"/>
      <c r="B121" s="64"/>
      <c r="C121" s="64"/>
      <c r="D121" s="64"/>
      <c r="E121" s="64"/>
      <c r="F121" s="57"/>
    </row>
    <row r="122" ht="31.5" customHeight="1">
      <c r="A122" s="57"/>
      <c r="B122" s="64"/>
      <c r="C122" s="64"/>
      <c r="D122" s="64"/>
      <c r="E122" s="64"/>
      <c r="F122" s="57"/>
    </row>
    <row r="123" ht="31.5" customHeight="1">
      <c r="A123" s="57"/>
      <c r="B123" s="64"/>
      <c r="C123" s="64"/>
      <c r="D123" s="64"/>
      <c r="E123" s="64"/>
      <c r="F123" s="57"/>
    </row>
    <row r="124" ht="31.5" customHeight="1">
      <c r="A124" s="57"/>
      <c r="B124" s="64"/>
      <c r="C124" s="64"/>
      <c r="D124" s="64"/>
      <c r="E124" s="64"/>
      <c r="F124" s="57"/>
    </row>
    <row r="125" ht="31.5" customHeight="1">
      <c r="A125" s="57"/>
      <c r="B125" s="64"/>
      <c r="C125" s="64"/>
      <c r="D125" s="64"/>
      <c r="E125" s="64"/>
      <c r="F125" s="57"/>
    </row>
    <row r="126" ht="31.5" customHeight="1">
      <c r="A126" s="57"/>
      <c r="B126" s="64"/>
      <c r="C126" s="64"/>
      <c r="D126" s="64"/>
      <c r="E126" s="64"/>
      <c r="F126" s="57"/>
    </row>
    <row r="127" ht="31.5" customHeight="1">
      <c r="A127" s="57"/>
      <c r="B127" s="64"/>
      <c r="C127" s="64"/>
      <c r="D127" s="64"/>
      <c r="E127" s="64"/>
      <c r="F127" s="57"/>
    </row>
    <row r="128" ht="31.5" customHeight="1">
      <c r="A128" s="57"/>
      <c r="B128" s="64"/>
      <c r="C128" s="64"/>
      <c r="D128" s="64"/>
      <c r="E128" s="64"/>
      <c r="F128" s="57"/>
    </row>
    <row r="129" ht="31.5" customHeight="1">
      <c r="A129" s="57"/>
      <c r="B129" s="64"/>
      <c r="C129" s="64"/>
      <c r="D129" s="64"/>
      <c r="E129" s="64"/>
      <c r="F129" s="57"/>
    </row>
    <row r="130" ht="31.5" customHeight="1">
      <c r="A130" s="57"/>
      <c r="B130" s="64"/>
      <c r="C130" s="64"/>
      <c r="D130" s="64"/>
      <c r="E130" s="64"/>
      <c r="F130" s="57"/>
    </row>
    <row r="131" ht="31.5" customHeight="1">
      <c r="A131" s="57"/>
      <c r="B131" s="64"/>
      <c r="C131" s="64"/>
      <c r="D131" s="64"/>
      <c r="E131" s="64"/>
      <c r="F131" s="57"/>
    </row>
    <row r="132" ht="31.5" customHeight="1">
      <c r="A132" s="57"/>
      <c r="B132" s="64"/>
      <c r="C132" s="64"/>
      <c r="D132" s="64"/>
      <c r="E132" s="64"/>
      <c r="F132" s="57"/>
    </row>
    <row r="133" ht="31.5" customHeight="1">
      <c r="A133" s="57"/>
      <c r="B133" s="64"/>
      <c r="C133" s="64"/>
      <c r="D133" s="64"/>
      <c r="E133" s="64"/>
      <c r="F133" s="57"/>
    </row>
    <row r="134" ht="31.5" customHeight="1">
      <c r="A134" s="65" t="s">
        <v>30</v>
      </c>
    </row>
    <row r="135" ht="15.75" customHeight="1">
      <c r="A135" s="57"/>
      <c r="B135" s="57"/>
      <c r="C135" s="57"/>
      <c r="D135" s="57"/>
      <c r="E135" s="57"/>
      <c r="F135" s="57"/>
    </row>
    <row r="136" ht="31.5" customHeight="1">
      <c r="A136" s="57"/>
      <c r="B136" s="58" t="s">
        <v>5</v>
      </c>
      <c r="D136" s="58" t="s">
        <v>6</v>
      </c>
      <c r="F136" s="57"/>
    </row>
    <row r="137" ht="15.75" customHeight="1">
      <c r="A137" s="57"/>
      <c r="B137" s="59" t="s">
        <v>8</v>
      </c>
      <c r="C137" s="60" t="str">
        <f>'Getting Started'!$G$10</f>
        <v/>
      </c>
      <c r="D137" s="59" t="s">
        <v>9</v>
      </c>
      <c r="E137" s="60" t="str">
        <f>'Getting Started'!$I$10</f>
        <v/>
      </c>
      <c r="F137" s="57"/>
    </row>
    <row r="138" ht="15.75" customHeight="1">
      <c r="A138" s="57"/>
      <c r="B138" s="59" t="s">
        <v>11</v>
      </c>
      <c r="C138" s="61" t="str">
        <f>'Getting Started'!$G$11</f>
        <v/>
      </c>
      <c r="D138" s="59" t="s">
        <v>12</v>
      </c>
      <c r="E138" s="60" t="str">
        <f>'Getting Started'!$I$11</f>
        <v/>
      </c>
      <c r="F138" s="57"/>
    </row>
    <row r="139" ht="31.5" customHeight="1">
      <c r="A139" s="57"/>
      <c r="B139" s="59" t="s">
        <v>13</v>
      </c>
      <c r="C139" s="60" t="str">
        <f>'Getting Started'!$G$12</f>
        <v/>
      </c>
      <c r="D139" s="59" t="s">
        <v>14</v>
      </c>
      <c r="E139" s="60" t="str">
        <f>'Getting Started'!$I$12</f>
        <v/>
      </c>
      <c r="F139" s="57"/>
    </row>
    <row r="140" ht="31.5" customHeight="1">
      <c r="A140" s="57"/>
      <c r="B140" s="59" t="s">
        <v>15</v>
      </c>
      <c r="C140" s="62" t="str">
        <f>'Getting Started'!$G$14</f>
        <v/>
      </c>
      <c r="D140" s="59" t="s">
        <v>16</v>
      </c>
      <c r="E140" s="60" t="str">
        <f>'Getting Started'!$I$14</f>
        <v/>
      </c>
      <c r="F140" s="57"/>
    </row>
    <row r="141" ht="31.5" customHeight="1">
      <c r="A141" s="57"/>
      <c r="B141" s="63" t="s">
        <v>22</v>
      </c>
      <c r="C141" s="63" t="s">
        <v>23</v>
      </c>
      <c r="D141" s="63" t="s">
        <v>24</v>
      </c>
      <c r="E141" s="63" t="s">
        <v>25</v>
      </c>
      <c r="F141" s="57"/>
    </row>
    <row r="142" ht="31.5" customHeight="1">
      <c r="A142" s="57"/>
      <c r="B142" s="64"/>
      <c r="C142" s="64"/>
      <c r="D142" s="64"/>
      <c r="E142" s="64"/>
      <c r="F142" s="57"/>
    </row>
    <row r="143" ht="31.5" customHeight="1">
      <c r="A143" s="57"/>
      <c r="B143" s="64"/>
      <c r="C143" s="64"/>
      <c r="D143" s="64"/>
      <c r="E143" s="64"/>
      <c r="F143" s="57"/>
    </row>
    <row r="144" ht="31.5" customHeight="1">
      <c r="A144" s="57"/>
      <c r="B144" s="64"/>
      <c r="C144" s="64"/>
      <c r="D144" s="64"/>
      <c r="E144" s="64"/>
      <c r="F144" s="57"/>
    </row>
    <row r="145" ht="31.5" customHeight="1">
      <c r="A145" s="57"/>
      <c r="B145" s="64"/>
      <c r="C145" s="64"/>
      <c r="D145" s="64"/>
      <c r="E145" s="64"/>
      <c r="F145" s="57"/>
    </row>
    <row r="146" ht="31.5" customHeight="1">
      <c r="A146" s="57"/>
      <c r="B146" s="64"/>
      <c r="C146" s="64"/>
      <c r="D146" s="64"/>
      <c r="E146" s="64"/>
      <c r="F146" s="57"/>
    </row>
    <row r="147" ht="31.5" customHeight="1">
      <c r="A147" s="57"/>
      <c r="B147" s="64"/>
      <c r="C147" s="64"/>
      <c r="D147" s="64"/>
      <c r="E147" s="64"/>
      <c r="F147" s="57"/>
    </row>
    <row r="148" ht="31.5" customHeight="1">
      <c r="A148" s="57"/>
      <c r="B148" s="64"/>
      <c r="C148" s="64"/>
      <c r="D148" s="64"/>
      <c r="E148" s="64"/>
      <c r="F148" s="57"/>
    </row>
    <row r="149" ht="31.5" customHeight="1">
      <c r="A149" s="57"/>
      <c r="B149" s="64"/>
      <c r="C149" s="64"/>
      <c r="D149" s="64"/>
      <c r="E149" s="64"/>
      <c r="F149" s="57"/>
    </row>
    <row r="150" ht="31.5" customHeight="1">
      <c r="A150" s="57"/>
      <c r="B150" s="64"/>
      <c r="C150" s="64"/>
      <c r="D150" s="64"/>
      <c r="E150" s="64"/>
      <c r="F150" s="57"/>
    </row>
    <row r="151" ht="31.5" customHeight="1">
      <c r="A151" s="57"/>
      <c r="B151" s="64"/>
      <c r="C151" s="64"/>
      <c r="D151" s="64"/>
      <c r="E151" s="64"/>
      <c r="F151" s="57"/>
    </row>
    <row r="152" ht="31.5" customHeight="1">
      <c r="A152" s="57"/>
      <c r="B152" s="64"/>
      <c r="C152" s="64"/>
      <c r="D152" s="64"/>
      <c r="E152" s="64"/>
      <c r="F152" s="57"/>
    </row>
    <row r="153" ht="31.5" customHeight="1">
      <c r="A153" s="57"/>
      <c r="B153" s="64"/>
      <c r="C153" s="64"/>
      <c r="D153" s="64"/>
      <c r="E153" s="64"/>
      <c r="F153" s="57"/>
    </row>
    <row r="154" ht="31.5" customHeight="1">
      <c r="A154" s="57"/>
      <c r="B154" s="64"/>
      <c r="C154" s="64"/>
      <c r="D154" s="64"/>
      <c r="E154" s="64"/>
      <c r="F154" s="57"/>
    </row>
    <row r="155" ht="31.5" customHeight="1">
      <c r="A155" s="57"/>
      <c r="B155" s="64"/>
      <c r="C155" s="64"/>
      <c r="D155" s="64"/>
      <c r="E155" s="64"/>
      <c r="F155" s="57"/>
    </row>
    <row r="156" ht="31.5" customHeight="1">
      <c r="A156" s="57"/>
      <c r="B156" s="64"/>
      <c r="C156" s="64"/>
      <c r="D156" s="64"/>
      <c r="E156" s="64"/>
      <c r="F156" s="57"/>
    </row>
    <row r="157" ht="31.5" customHeight="1">
      <c r="A157" s="57"/>
      <c r="B157" s="64"/>
      <c r="C157" s="64"/>
      <c r="D157" s="64"/>
      <c r="E157" s="64"/>
      <c r="F157" s="57"/>
    </row>
    <row r="158" ht="31.5" customHeight="1">
      <c r="A158" s="57"/>
      <c r="B158" s="64"/>
      <c r="C158" s="64"/>
      <c r="D158" s="64"/>
      <c r="E158" s="64"/>
      <c r="F158" s="57"/>
    </row>
    <row r="159" ht="31.5" customHeight="1">
      <c r="A159" s="57"/>
      <c r="B159" s="64"/>
      <c r="C159" s="64"/>
      <c r="D159" s="64"/>
      <c r="E159" s="64"/>
      <c r="F159" s="57"/>
    </row>
    <row r="160" ht="31.5" customHeight="1">
      <c r="A160" s="57"/>
      <c r="B160" s="64"/>
      <c r="C160" s="64"/>
      <c r="D160" s="64"/>
      <c r="E160" s="64"/>
      <c r="F160" s="57"/>
    </row>
    <row r="161" ht="31.5" customHeight="1">
      <c r="A161" s="65" t="s">
        <v>31</v>
      </c>
    </row>
    <row r="162" ht="15.75" customHeight="1">
      <c r="A162" s="57"/>
      <c r="B162" s="57"/>
      <c r="C162" s="57"/>
      <c r="D162" s="57"/>
      <c r="E162" s="57"/>
      <c r="F162" s="57"/>
    </row>
    <row r="163" ht="31.5" customHeight="1">
      <c r="A163" s="57"/>
      <c r="B163" s="58" t="s">
        <v>5</v>
      </c>
      <c r="D163" s="58" t="s">
        <v>6</v>
      </c>
      <c r="F163" s="57"/>
    </row>
    <row r="164" ht="15.75" customHeight="1">
      <c r="A164" s="57"/>
      <c r="B164" s="59" t="s">
        <v>8</v>
      </c>
      <c r="C164" s="60" t="str">
        <f>'Getting Started'!$G$10</f>
        <v/>
      </c>
      <c r="D164" s="59" t="s">
        <v>9</v>
      </c>
      <c r="E164" s="60" t="str">
        <f>'Getting Started'!$I$10</f>
        <v/>
      </c>
      <c r="F164" s="57"/>
    </row>
    <row r="165" ht="15.75" customHeight="1">
      <c r="A165" s="57"/>
      <c r="B165" s="59" t="s">
        <v>11</v>
      </c>
      <c r="C165" s="61" t="str">
        <f>'Getting Started'!$G$11</f>
        <v/>
      </c>
      <c r="D165" s="59" t="s">
        <v>12</v>
      </c>
      <c r="E165" s="60" t="str">
        <f>'Getting Started'!$I$11</f>
        <v/>
      </c>
      <c r="F165" s="57"/>
    </row>
    <row r="166" ht="31.5" customHeight="1">
      <c r="A166" s="57"/>
      <c r="B166" s="59" t="s">
        <v>13</v>
      </c>
      <c r="C166" s="60" t="str">
        <f>'Getting Started'!$G$12</f>
        <v/>
      </c>
      <c r="D166" s="59" t="s">
        <v>14</v>
      </c>
      <c r="E166" s="60" t="str">
        <f>'Getting Started'!$I$12</f>
        <v/>
      </c>
      <c r="F166" s="57"/>
    </row>
    <row r="167" ht="31.5" customHeight="1">
      <c r="A167" s="57"/>
      <c r="B167" s="59" t="s">
        <v>15</v>
      </c>
      <c r="C167" s="62" t="str">
        <f>'Getting Started'!$G$14</f>
        <v/>
      </c>
      <c r="D167" s="59" t="s">
        <v>16</v>
      </c>
      <c r="E167" s="60" t="str">
        <f>'Getting Started'!$I$14</f>
        <v/>
      </c>
      <c r="F167" s="57"/>
    </row>
    <row r="168" ht="31.5" customHeight="1">
      <c r="A168" s="57"/>
      <c r="B168" s="63" t="s">
        <v>22</v>
      </c>
      <c r="C168" s="63" t="s">
        <v>23</v>
      </c>
      <c r="D168" s="63" t="s">
        <v>24</v>
      </c>
      <c r="E168" s="63" t="s">
        <v>25</v>
      </c>
      <c r="F168" s="57"/>
    </row>
    <row r="169" ht="31.5" customHeight="1">
      <c r="A169" s="57"/>
      <c r="B169" s="64"/>
      <c r="C169" s="64"/>
      <c r="D169" s="64"/>
      <c r="E169" s="64"/>
      <c r="F169" s="57"/>
    </row>
    <row r="170" ht="31.5" customHeight="1">
      <c r="A170" s="57"/>
      <c r="B170" s="64"/>
      <c r="C170" s="64"/>
      <c r="D170" s="64"/>
      <c r="E170" s="64"/>
      <c r="F170" s="57"/>
    </row>
    <row r="171" ht="31.5" customHeight="1">
      <c r="A171" s="57"/>
      <c r="B171" s="64"/>
      <c r="C171" s="64"/>
      <c r="D171" s="64"/>
      <c r="E171" s="64"/>
      <c r="F171" s="57"/>
    </row>
    <row r="172" ht="31.5" customHeight="1">
      <c r="A172" s="57"/>
      <c r="B172" s="64"/>
      <c r="C172" s="64"/>
      <c r="D172" s="64"/>
      <c r="E172" s="64"/>
      <c r="F172" s="57"/>
    </row>
    <row r="173" ht="31.5" customHeight="1">
      <c r="A173" s="57"/>
      <c r="B173" s="64"/>
      <c r="C173" s="64"/>
      <c r="D173" s="64"/>
      <c r="E173" s="64"/>
      <c r="F173" s="57"/>
    </row>
    <row r="174" ht="31.5" customHeight="1">
      <c r="A174" s="57"/>
      <c r="B174" s="64"/>
      <c r="C174" s="64"/>
      <c r="D174" s="64"/>
      <c r="E174" s="64"/>
      <c r="F174" s="57"/>
    </row>
    <row r="175" ht="31.5" customHeight="1">
      <c r="A175" s="57"/>
      <c r="B175" s="64"/>
      <c r="C175" s="64"/>
      <c r="D175" s="64"/>
      <c r="E175" s="64"/>
      <c r="F175" s="57"/>
    </row>
    <row r="176" ht="31.5" customHeight="1">
      <c r="A176" s="57"/>
      <c r="B176" s="64"/>
      <c r="C176" s="64"/>
      <c r="D176" s="64"/>
      <c r="E176" s="64"/>
      <c r="F176" s="57"/>
    </row>
    <row r="177" ht="31.5" customHeight="1">
      <c r="A177" s="57"/>
      <c r="B177" s="64"/>
      <c r="C177" s="64"/>
      <c r="D177" s="64"/>
      <c r="E177" s="64"/>
      <c r="F177" s="57"/>
    </row>
    <row r="178" ht="31.5" customHeight="1">
      <c r="A178" s="57"/>
      <c r="B178" s="64"/>
      <c r="C178" s="64"/>
      <c r="D178" s="64"/>
      <c r="E178" s="64"/>
      <c r="F178" s="57"/>
    </row>
    <row r="179" ht="31.5" customHeight="1">
      <c r="A179" s="57"/>
      <c r="B179" s="64"/>
      <c r="C179" s="64"/>
      <c r="D179" s="64"/>
      <c r="E179" s="64"/>
      <c r="F179" s="57"/>
    </row>
    <row r="180" ht="31.5" customHeight="1">
      <c r="A180" s="57"/>
      <c r="B180" s="64"/>
      <c r="C180" s="64"/>
      <c r="D180" s="64"/>
      <c r="E180" s="64"/>
      <c r="F180" s="57"/>
    </row>
    <row r="181" ht="31.5" customHeight="1">
      <c r="A181" s="57"/>
      <c r="B181" s="64"/>
      <c r="C181" s="64"/>
      <c r="D181" s="64"/>
      <c r="E181" s="64"/>
      <c r="F181" s="57"/>
    </row>
    <row r="182" ht="31.5" customHeight="1">
      <c r="A182" s="57"/>
      <c r="B182" s="64"/>
      <c r="C182" s="64"/>
      <c r="D182" s="64"/>
      <c r="E182" s="64"/>
      <c r="F182" s="57"/>
    </row>
    <row r="183" ht="31.5" customHeight="1">
      <c r="A183" s="57"/>
      <c r="B183" s="64"/>
      <c r="C183" s="64"/>
      <c r="D183" s="64"/>
      <c r="E183" s="64"/>
      <c r="F183" s="57"/>
    </row>
    <row r="184" ht="31.5" customHeight="1">
      <c r="A184" s="57"/>
      <c r="B184" s="64"/>
      <c r="C184" s="64"/>
      <c r="D184" s="64"/>
      <c r="E184" s="64"/>
      <c r="F184" s="57"/>
    </row>
    <row r="185" ht="31.5" customHeight="1">
      <c r="A185" s="57"/>
      <c r="B185" s="64"/>
      <c r="C185" s="64"/>
      <c r="D185" s="64"/>
      <c r="E185" s="64"/>
      <c r="F185" s="57"/>
    </row>
    <row r="186" ht="31.5" customHeight="1">
      <c r="A186" s="57"/>
      <c r="B186" s="64"/>
      <c r="C186" s="64"/>
      <c r="D186" s="64"/>
      <c r="E186" s="64"/>
      <c r="F186" s="57"/>
    </row>
    <row r="187" ht="31.5" customHeight="1">
      <c r="A187" s="57"/>
      <c r="B187" s="64"/>
      <c r="C187" s="64"/>
      <c r="D187" s="64"/>
      <c r="E187" s="64"/>
      <c r="F187" s="57"/>
    </row>
    <row r="188" ht="31.5" customHeight="1">
      <c r="A188" s="65" t="s">
        <v>32</v>
      </c>
    </row>
    <row r="189" ht="15.75" customHeight="1">
      <c r="A189" s="57"/>
      <c r="B189" s="57"/>
      <c r="C189" s="57"/>
      <c r="D189" s="57"/>
      <c r="E189" s="57"/>
      <c r="F189" s="57"/>
    </row>
    <row r="190" ht="31.5" customHeight="1">
      <c r="A190" s="57"/>
      <c r="B190" s="58" t="s">
        <v>5</v>
      </c>
      <c r="D190" s="58" t="s">
        <v>6</v>
      </c>
      <c r="F190" s="57"/>
    </row>
    <row r="191" ht="15.75" customHeight="1">
      <c r="A191" s="57"/>
      <c r="B191" s="59" t="s">
        <v>8</v>
      </c>
      <c r="C191" s="60" t="str">
        <f>'Getting Started'!$G$10</f>
        <v/>
      </c>
      <c r="D191" s="59" t="s">
        <v>9</v>
      </c>
      <c r="E191" s="60" t="str">
        <f>'Getting Started'!$I$10</f>
        <v/>
      </c>
      <c r="F191" s="57"/>
    </row>
    <row r="192" ht="15.75" customHeight="1">
      <c r="A192" s="57"/>
      <c r="B192" s="59" t="s">
        <v>11</v>
      </c>
      <c r="C192" s="61" t="str">
        <f>'Getting Started'!$G$11</f>
        <v/>
      </c>
      <c r="D192" s="59" t="s">
        <v>12</v>
      </c>
      <c r="E192" s="60" t="str">
        <f>'Getting Started'!$I$11</f>
        <v/>
      </c>
      <c r="F192" s="57"/>
    </row>
    <row r="193" ht="31.5" customHeight="1">
      <c r="A193" s="57"/>
      <c r="B193" s="59" t="s">
        <v>13</v>
      </c>
      <c r="C193" s="60" t="str">
        <f>'Getting Started'!$G$12</f>
        <v/>
      </c>
      <c r="D193" s="59" t="s">
        <v>14</v>
      </c>
      <c r="E193" s="60" t="str">
        <f>'Getting Started'!$I$12</f>
        <v/>
      </c>
      <c r="F193" s="57"/>
    </row>
    <row r="194" ht="31.5" customHeight="1">
      <c r="A194" s="57"/>
      <c r="B194" s="59" t="s">
        <v>15</v>
      </c>
      <c r="C194" s="62" t="str">
        <f>'Getting Started'!$G$14</f>
        <v/>
      </c>
      <c r="D194" s="59" t="s">
        <v>16</v>
      </c>
      <c r="E194" s="60" t="str">
        <f>'Getting Started'!$I$14</f>
        <v/>
      </c>
      <c r="F194" s="57"/>
    </row>
    <row r="195" ht="31.5" customHeight="1">
      <c r="A195" s="57"/>
      <c r="B195" s="63" t="s">
        <v>22</v>
      </c>
      <c r="C195" s="63" t="s">
        <v>23</v>
      </c>
      <c r="D195" s="63" t="s">
        <v>24</v>
      </c>
      <c r="E195" s="63" t="s">
        <v>25</v>
      </c>
      <c r="F195" s="57"/>
    </row>
    <row r="196" ht="31.5" customHeight="1">
      <c r="A196" s="57"/>
      <c r="B196" s="64"/>
      <c r="C196" s="64"/>
      <c r="D196" s="64"/>
      <c r="E196" s="64"/>
      <c r="F196" s="57"/>
    </row>
    <row r="197" ht="31.5" customHeight="1">
      <c r="A197" s="57"/>
      <c r="B197" s="64"/>
      <c r="C197" s="64"/>
      <c r="D197" s="64"/>
      <c r="E197" s="64"/>
      <c r="F197" s="57"/>
    </row>
    <row r="198" ht="31.5" customHeight="1">
      <c r="A198" s="57"/>
      <c r="B198" s="64"/>
      <c r="C198" s="64"/>
      <c r="D198" s="64"/>
      <c r="E198" s="64"/>
      <c r="F198" s="57"/>
    </row>
    <row r="199" ht="31.5" customHeight="1">
      <c r="A199" s="57"/>
      <c r="B199" s="64"/>
      <c r="C199" s="64"/>
      <c r="D199" s="64"/>
      <c r="E199" s="64"/>
      <c r="F199" s="57"/>
    </row>
    <row r="200" ht="31.5" customHeight="1">
      <c r="A200" s="57"/>
      <c r="B200" s="64"/>
      <c r="C200" s="64"/>
      <c r="D200" s="64"/>
      <c r="E200" s="64"/>
      <c r="F200" s="57"/>
    </row>
    <row r="201" ht="31.5" customHeight="1">
      <c r="A201" s="57"/>
      <c r="B201" s="64"/>
      <c r="C201" s="64"/>
      <c r="D201" s="64"/>
      <c r="E201" s="64"/>
      <c r="F201" s="57"/>
    </row>
    <row r="202" ht="31.5" customHeight="1">
      <c r="A202" s="57"/>
      <c r="B202" s="64"/>
      <c r="C202" s="64"/>
      <c r="D202" s="64"/>
      <c r="E202" s="64"/>
      <c r="F202" s="57"/>
    </row>
    <row r="203" ht="31.5" customHeight="1">
      <c r="A203" s="57"/>
      <c r="B203" s="64"/>
      <c r="C203" s="64"/>
      <c r="D203" s="64"/>
      <c r="E203" s="64"/>
      <c r="F203" s="57"/>
    </row>
    <row r="204" ht="31.5" customHeight="1">
      <c r="A204" s="57"/>
      <c r="B204" s="64"/>
      <c r="C204" s="64"/>
      <c r="D204" s="64"/>
      <c r="E204" s="64"/>
      <c r="F204" s="57"/>
    </row>
    <row r="205" ht="31.5" customHeight="1">
      <c r="A205" s="57"/>
      <c r="B205" s="64"/>
      <c r="C205" s="64"/>
      <c r="D205" s="64"/>
      <c r="E205" s="64"/>
      <c r="F205" s="57"/>
    </row>
    <row r="206" ht="31.5" customHeight="1">
      <c r="A206" s="57"/>
      <c r="B206" s="64"/>
      <c r="C206" s="64"/>
      <c r="D206" s="64"/>
      <c r="E206" s="64"/>
      <c r="F206" s="57"/>
    </row>
    <row r="207" ht="31.5" customHeight="1">
      <c r="A207" s="57"/>
      <c r="B207" s="64"/>
      <c r="C207" s="64"/>
      <c r="D207" s="64"/>
      <c r="E207" s="64"/>
      <c r="F207" s="57"/>
    </row>
    <row r="208" ht="31.5" customHeight="1">
      <c r="A208" s="57"/>
      <c r="B208" s="64"/>
      <c r="C208" s="64"/>
      <c r="D208" s="64"/>
      <c r="E208" s="64"/>
      <c r="F208" s="57"/>
    </row>
    <row r="209" ht="31.5" customHeight="1">
      <c r="A209" s="57"/>
      <c r="B209" s="64"/>
      <c r="C209" s="64"/>
      <c r="D209" s="64"/>
      <c r="E209" s="64"/>
      <c r="F209" s="57"/>
    </row>
    <row r="210" ht="31.5" customHeight="1">
      <c r="A210" s="57"/>
      <c r="B210" s="64"/>
      <c r="C210" s="64"/>
      <c r="D210" s="64"/>
      <c r="E210" s="64"/>
      <c r="F210" s="57"/>
    </row>
    <row r="211" ht="31.5" customHeight="1">
      <c r="A211" s="57"/>
      <c r="B211" s="64"/>
      <c r="C211" s="64"/>
      <c r="D211" s="64"/>
      <c r="E211" s="64"/>
      <c r="F211" s="57"/>
    </row>
    <row r="212" ht="31.5" customHeight="1">
      <c r="A212" s="57"/>
      <c r="B212" s="64"/>
      <c r="C212" s="64"/>
      <c r="D212" s="64"/>
      <c r="E212" s="64"/>
      <c r="F212" s="57"/>
    </row>
    <row r="213" ht="31.5" customHeight="1">
      <c r="A213" s="57"/>
      <c r="B213" s="64"/>
      <c r="C213" s="64"/>
      <c r="D213" s="64"/>
      <c r="E213" s="64"/>
      <c r="F213" s="57"/>
    </row>
    <row r="214" ht="31.5" customHeight="1">
      <c r="A214" s="57"/>
      <c r="B214" s="64"/>
      <c r="C214" s="64"/>
      <c r="D214" s="64"/>
      <c r="E214" s="64"/>
      <c r="F214" s="57"/>
    </row>
    <row r="215" ht="31.5" customHeight="1">
      <c r="A215" s="65" t="s">
        <v>33</v>
      </c>
    </row>
    <row r="216" ht="15.75" customHeight="1">
      <c r="A216" s="57"/>
      <c r="B216" s="57"/>
      <c r="C216" s="57"/>
      <c r="D216" s="57"/>
      <c r="E216" s="57"/>
      <c r="F216" s="57"/>
    </row>
    <row r="217" ht="31.5" customHeight="1">
      <c r="A217" s="57"/>
      <c r="B217" s="58" t="s">
        <v>5</v>
      </c>
      <c r="D217" s="58" t="s">
        <v>6</v>
      </c>
      <c r="F217" s="57"/>
    </row>
    <row r="218" ht="15.75" customHeight="1">
      <c r="A218" s="57"/>
      <c r="B218" s="59" t="s">
        <v>8</v>
      </c>
      <c r="C218" s="60" t="str">
        <f>'Getting Started'!$G$10</f>
        <v/>
      </c>
      <c r="D218" s="59" t="s">
        <v>9</v>
      </c>
      <c r="E218" s="60" t="str">
        <f>'Getting Started'!$I$10</f>
        <v/>
      </c>
      <c r="F218" s="57"/>
    </row>
    <row r="219" ht="15.75" customHeight="1">
      <c r="A219" s="57"/>
      <c r="B219" s="59" t="s">
        <v>11</v>
      </c>
      <c r="C219" s="61" t="str">
        <f>'Getting Started'!$G$11</f>
        <v/>
      </c>
      <c r="D219" s="59" t="s">
        <v>12</v>
      </c>
      <c r="E219" s="60" t="str">
        <f>'Getting Started'!$I$11</f>
        <v/>
      </c>
      <c r="F219" s="57"/>
    </row>
    <row r="220" ht="31.5" customHeight="1">
      <c r="A220" s="57"/>
      <c r="B220" s="59" t="s">
        <v>13</v>
      </c>
      <c r="C220" s="60" t="str">
        <f>'Getting Started'!$G$12</f>
        <v/>
      </c>
      <c r="D220" s="59" t="s">
        <v>14</v>
      </c>
      <c r="E220" s="60" t="str">
        <f>'Getting Started'!$I$12</f>
        <v/>
      </c>
      <c r="F220" s="57"/>
    </row>
    <row r="221" ht="31.5" customHeight="1">
      <c r="A221" s="57"/>
      <c r="B221" s="59" t="s">
        <v>15</v>
      </c>
      <c r="C221" s="62" t="str">
        <f>'Getting Started'!$G$14</f>
        <v/>
      </c>
      <c r="D221" s="59" t="s">
        <v>16</v>
      </c>
      <c r="E221" s="60" t="str">
        <f>'Getting Started'!$I$14</f>
        <v/>
      </c>
      <c r="F221" s="57"/>
    </row>
    <row r="222" ht="31.5" customHeight="1">
      <c r="A222" s="57"/>
      <c r="B222" s="63" t="s">
        <v>22</v>
      </c>
      <c r="C222" s="63" t="s">
        <v>23</v>
      </c>
      <c r="D222" s="63" t="s">
        <v>24</v>
      </c>
      <c r="E222" s="63" t="s">
        <v>25</v>
      </c>
      <c r="F222" s="57"/>
    </row>
    <row r="223" ht="31.5" customHeight="1">
      <c r="A223" s="57"/>
      <c r="B223" s="64"/>
      <c r="C223" s="64"/>
      <c r="D223" s="64"/>
      <c r="E223" s="64"/>
      <c r="F223" s="57"/>
    </row>
    <row r="224" ht="31.5" customHeight="1">
      <c r="A224" s="57"/>
      <c r="B224" s="64"/>
      <c r="C224" s="64"/>
      <c r="D224" s="64"/>
      <c r="E224" s="64"/>
      <c r="F224" s="57"/>
    </row>
    <row r="225" ht="31.5" customHeight="1">
      <c r="A225" s="57"/>
      <c r="B225" s="64"/>
      <c r="C225" s="64"/>
      <c r="D225" s="64"/>
      <c r="E225" s="64"/>
      <c r="F225" s="57"/>
    </row>
    <row r="226" ht="31.5" customHeight="1">
      <c r="A226" s="57"/>
      <c r="B226" s="64"/>
      <c r="C226" s="64"/>
      <c r="D226" s="64"/>
      <c r="E226" s="64"/>
      <c r="F226" s="57"/>
    </row>
    <row r="227" ht="31.5" customHeight="1">
      <c r="A227" s="57"/>
      <c r="B227" s="64"/>
      <c r="C227" s="64"/>
      <c r="D227" s="64"/>
      <c r="E227" s="64"/>
      <c r="F227" s="57"/>
    </row>
    <row r="228" ht="31.5" customHeight="1">
      <c r="A228" s="57"/>
      <c r="B228" s="64"/>
      <c r="C228" s="64"/>
      <c r="D228" s="64"/>
      <c r="E228" s="64"/>
      <c r="F228" s="57"/>
    </row>
    <row r="229" ht="31.5" customHeight="1">
      <c r="A229" s="57"/>
      <c r="B229" s="64"/>
      <c r="C229" s="64"/>
      <c r="D229" s="64"/>
      <c r="E229" s="64"/>
      <c r="F229" s="57"/>
    </row>
    <row r="230" ht="31.5" customHeight="1">
      <c r="A230" s="57"/>
      <c r="B230" s="64"/>
      <c r="C230" s="64"/>
      <c r="D230" s="64"/>
      <c r="E230" s="64"/>
      <c r="F230" s="57"/>
    </row>
    <row r="231" ht="31.5" customHeight="1">
      <c r="A231" s="57"/>
      <c r="B231" s="64"/>
      <c r="C231" s="64"/>
      <c r="D231" s="64"/>
      <c r="E231" s="64"/>
      <c r="F231" s="57"/>
    </row>
    <row r="232" ht="31.5" customHeight="1">
      <c r="A232" s="57"/>
      <c r="B232" s="64"/>
      <c r="C232" s="64"/>
      <c r="D232" s="64"/>
      <c r="E232" s="64"/>
      <c r="F232" s="57"/>
    </row>
    <row r="233" ht="31.5" customHeight="1">
      <c r="A233" s="57"/>
      <c r="B233" s="64"/>
      <c r="C233" s="64"/>
      <c r="D233" s="64"/>
      <c r="E233" s="64"/>
      <c r="F233" s="57"/>
    </row>
    <row r="234" ht="31.5" customHeight="1">
      <c r="A234" s="57"/>
      <c r="B234" s="64"/>
      <c r="C234" s="64"/>
      <c r="D234" s="64"/>
      <c r="E234" s="64"/>
      <c r="F234" s="57"/>
    </row>
    <row r="235" ht="31.5" customHeight="1">
      <c r="A235" s="57"/>
      <c r="B235" s="64"/>
      <c r="C235" s="64"/>
      <c r="D235" s="64"/>
      <c r="E235" s="64"/>
      <c r="F235" s="57"/>
    </row>
    <row r="236" ht="31.5" customHeight="1">
      <c r="A236" s="57"/>
      <c r="B236" s="64"/>
      <c r="C236" s="64"/>
      <c r="D236" s="64"/>
      <c r="E236" s="64"/>
      <c r="F236" s="57"/>
    </row>
    <row r="237" ht="31.5" customHeight="1">
      <c r="A237" s="57"/>
      <c r="B237" s="64"/>
      <c r="C237" s="64"/>
      <c r="D237" s="64"/>
      <c r="E237" s="64"/>
      <c r="F237" s="57"/>
    </row>
    <row r="238" ht="31.5" customHeight="1">
      <c r="A238" s="57"/>
      <c r="B238" s="64"/>
      <c r="C238" s="64"/>
      <c r="D238" s="64"/>
      <c r="E238" s="64"/>
      <c r="F238" s="57"/>
    </row>
    <row r="239" ht="31.5" customHeight="1">
      <c r="A239" s="57"/>
      <c r="B239" s="64"/>
      <c r="C239" s="64"/>
      <c r="D239" s="64"/>
      <c r="E239" s="64"/>
      <c r="F239" s="57"/>
    </row>
    <row r="240" ht="31.5" customHeight="1">
      <c r="A240" s="57"/>
      <c r="B240" s="64"/>
      <c r="C240" s="64"/>
      <c r="D240" s="64"/>
      <c r="E240" s="64"/>
      <c r="F240" s="57"/>
    </row>
    <row r="241" ht="31.5" customHeight="1">
      <c r="A241" s="57"/>
      <c r="B241" s="64"/>
      <c r="C241" s="64"/>
      <c r="D241" s="64"/>
      <c r="E241" s="64"/>
      <c r="F241" s="57"/>
    </row>
    <row r="242" ht="31.5" customHeight="1">
      <c r="A242" s="65" t="s">
        <v>34</v>
      </c>
    </row>
    <row r="243" ht="15.75" customHeight="1">
      <c r="A243" s="57"/>
      <c r="B243" s="57"/>
      <c r="C243" s="57"/>
      <c r="D243" s="57"/>
      <c r="E243" s="57"/>
      <c r="F243" s="57"/>
    </row>
    <row r="244" ht="31.5" customHeight="1">
      <c r="A244" s="57"/>
      <c r="B244" s="58" t="s">
        <v>5</v>
      </c>
      <c r="D244" s="58" t="s">
        <v>6</v>
      </c>
      <c r="F244" s="57"/>
    </row>
    <row r="245" ht="15.75" customHeight="1">
      <c r="A245" s="57"/>
      <c r="B245" s="59" t="s">
        <v>8</v>
      </c>
      <c r="C245" s="60" t="str">
        <f>'Getting Started'!$G$10</f>
        <v/>
      </c>
      <c r="D245" s="59" t="s">
        <v>9</v>
      </c>
      <c r="E245" s="60" t="str">
        <f>'Getting Started'!$I$10</f>
        <v/>
      </c>
      <c r="F245" s="57"/>
    </row>
    <row r="246" ht="15.75" customHeight="1">
      <c r="A246" s="57"/>
      <c r="B246" s="59" t="s">
        <v>11</v>
      </c>
      <c r="C246" s="61" t="str">
        <f>'Getting Started'!$G$11</f>
        <v/>
      </c>
      <c r="D246" s="59" t="s">
        <v>12</v>
      </c>
      <c r="E246" s="60" t="str">
        <f>'Getting Started'!$I$11</f>
        <v/>
      </c>
      <c r="F246" s="57"/>
    </row>
    <row r="247" ht="31.5" customHeight="1">
      <c r="A247" s="57"/>
      <c r="B247" s="59" t="s">
        <v>13</v>
      </c>
      <c r="C247" s="60" t="str">
        <f>'Getting Started'!$G$12</f>
        <v/>
      </c>
      <c r="D247" s="59" t="s">
        <v>14</v>
      </c>
      <c r="E247" s="60" t="str">
        <f>'Getting Started'!$I$12</f>
        <v/>
      </c>
      <c r="F247" s="57"/>
    </row>
    <row r="248" ht="31.5" customHeight="1">
      <c r="A248" s="57"/>
      <c r="B248" s="59" t="s">
        <v>15</v>
      </c>
      <c r="C248" s="62" t="str">
        <f>'Getting Started'!$G$14</f>
        <v/>
      </c>
      <c r="D248" s="59" t="s">
        <v>16</v>
      </c>
      <c r="E248" s="60" t="str">
        <f>'Getting Started'!$I$14</f>
        <v/>
      </c>
      <c r="F248" s="57"/>
    </row>
    <row r="249" ht="31.5" customHeight="1">
      <c r="A249" s="57"/>
      <c r="B249" s="63" t="s">
        <v>22</v>
      </c>
      <c r="C249" s="63" t="s">
        <v>23</v>
      </c>
      <c r="D249" s="63" t="s">
        <v>24</v>
      </c>
      <c r="E249" s="63" t="s">
        <v>25</v>
      </c>
      <c r="F249" s="57"/>
    </row>
    <row r="250" ht="31.5" customHeight="1">
      <c r="A250" s="57"/>
      <c r="B250" s="64"/>
      <c r="C250" s="64"/>
      <c r="D250" s="64"/>
      <c r="E250" s="64"/>
      <c r="F250" s="57"/>
    </row>
    <row r="251" ht="31.5" customHeight="1">
      <c r="A251" s="57"/>
      <c r="B251" s="64"/>
      <c r="C251" s="64"/>
      <c r="D251" s="64"/>
      <c r="E251" s="64"/>
      <c r="F251" s="57"/>
    </row>
    <row r="252" ht="31.5" customHeight="1">
      <c r="A252" s="57"/>
      <c r="B252" s="64"/>
      <c r="C252" s="64"/>
      <c r="D252" s="64"/>
      <c r="E252" s="64"/>
      <c r="F252" s="57"/>
    </row>
    <row r="253" ht="31.5" customHeight="1">
      <c r="A253" s="57"/>
      <c r="B253" s="64"/>
      <c r="C253" s="64"/>
      <c r="D253" s="64"/>
      <c r="E253" s="64"/>
      <c r="F253" s="57"/>
    </row>
    <row r="254" ht="31.5" customHeight="1">
      <c r="A254" s="57"/>
      <c r="B254" s="64"/>
      <c r="C254" s="64"/>
      <c r="D254" s="64"/>
      <c r="E254" s="64"/>
      <c r="F254" s="57"/>
    </row>
    <row r="255" ht="31.5" customHeight="1">
      <c r="A255" s="57"/>
      <c r="B255" s="64"/>
      <c r="C255" s="64"/>
      <c r="D255" s="64"/>
      <c r="E255" s="64"/>
      <c r="F255" s="57"/>
    </row>
    <row r="256" ht="31.5" customHeight="1">
      <c r="A256" s="57"/>
      <c r="B256" s="64"/>
      <c r="C256" s="64"/>
      <c r="D256" s="64"/>
      <c r="E256" s="64"/>
      <c r="F256" s="57"/>
    </row>
    <row r="257" ht="31.5" customHeight="1">
      <c r="A257" s="57"/>
      <c r="B257" s="64"/>
      <c r="C257" s="64"/>
      <c r="D257" s="64"/>
      <c r="E257" s="64"/>
      <c r="F257" s="57"/>
    </row>
    <row r="258" ht="31.5" customHeight="1">
      <c r="A258" s="57"/>
      <c r="B258" s="64"/>
      <c r="C258" s="64"/>
      <c r="D258" s="64"/>
      <c r="E258" s="64"/>
      <c r="F258" s="57"/>
    </row>
    <row r="259" ht="31.5" customHeight="1">
      <c r="A259" s="57"/>
      <c r="B259" s="64"/>
      <c r="C259" s="64"/>
      <c r="D259" s="64"/>
      <c r="E259" s="64"/>
      <c r="F259" s="57"/>
    </row>
    <row r="260" ht="31.5" customHeight="1">
      <c r="A260" s="57"/>
      <c r="B260" s="64"/>
      <c r="C260" s="64"/>
      <c r="D260" s="64"/>
      <c r="E260" s="64"/>
      <c r="F260" s="57"/>
    </row>
    <row r="261" ht="31.5" customHeight="1">
      <c r="A261" s="57"/>
      <c r="B261" s="64"/>
      <c r="C261" s="64"/>
      <c r="D261" s="64"/>
      <c r="E261" s="64"/>
      <c r="F261" s="57"/>
    </row>
    <row r="262" ht="31.5" customHeight="1">
      <c r="A262" s="57"/>
      <c r="B262" s="64"/>
      <c r="C262" s="64"/>
      <c r="D262" s="64"/>
      <c r="E262" s="64"/>
      <c r="F262" s="57"/>
    </row>
    <row r="263" ht="31.5" customHeight="1">
      <c r="A263" s="57"/>
      <c r="B263" s="64"/>
      <c r="C263" s="64"/>
      <c r="D263" s="64"/>
      <c r="E263" s="64"/>
      <c r="F263" s="57"/>
    </row>
    <row r="264" ht="31.5" customHeight="1">
      <c r="A264" s="57"/>
      <c r="B264" s="64"/>
      <c r="C264" s="64"/>
      <c r="D264" s="64"/>
      <c r="E264" s="64"/>
      <c r="F264" s="57"/>
    </row>
    <row r="265" ht="31.5" customHeight="1">
      <c r="A265" s="57"/>
      <c r="B265" s="64"/>
      <c r="C265" s="64"/>
      <c r="D265" s="64"/>
      <c r="E265" s="64"/>
      <c r="F265" s="57"/>
    </row>
    <row r="266" ht="31.5" customHeight="1">
      <c r="A266" s="57"/>
      <c r="B266" s="64"/>
      <c r="C266" s="64"/>
      <c r="D266" s="64"/>
      <c r="E266" s="64"/>
      <c r="F266" s="57"/>
    </row>
    <row r="267" ht="31.5" customHeight="1">
      <c r="A267" s="57"/>
      <c r="B267" s="64"/>
      <c r="C267" s="64"/>
      <c r="D267" s="64"/>
      <c r="E267" s="64"/>
      <c r="F267" s="57"/>
    </row>
    <row r="268" ht="31.5" customHeight="1">
      <c r="A268" s="57"/>
      <c r="B268" s="64"/>
      <c r="C268" s="64"/>
      <c r="D268" s="64"/>
      <c r="E268" s="64"/>
      <c r="F268" s="57"/>
    </row>
    <row r="269" ht="31.5" customHeight="1">
      <c r="A269" s="65" t="s">
        <v>35</v>
      </c>
    </row>
    <row r="270" ht="15.75" customHeight="1">
      <c r="A270" s="57"/>
      <c r="B270" s="57"/>
      <c r="C270" s="57"/>
      <c r="D270" s="57"/>
      <c r="E270" s="57"/>
      <c r="F270" s="57"/>
    </row>
    <row r="271" ht="31.5" customHeight="1">
      <c r="A271" s="57"/>
      <c r="B271" s="58" t="s">
        <v>5</v>
      </c>
      <c r="D271" s="58" t="s">
        <v>6</v>
      </c>
      <c r="F271" s="57"/>
    </row>
    <row r="272" ht="15.75" customHeight="1">
      <c r="A272" s="57"/>
      <c r="B272" s="59" t="s">
        <v>8</v>
      </c>
      <c r="C272" s="60" t="str">
        <f>'Getting Started'!$G$10</f>
        <v/>
      </c>
      <c r="D272" s="59" t="s">
        <v>9</v>
      </c>
      <c r="E272" s="60" t="str">
        <f>'Getting Started'!$I$10</f>
        <v/>
      </c>
      <c r="F272" s="57"/>
    </row>
    <row r="273" ht="15.75" customHeight="1">
      <c r="A273" s="57"/>
      <c r="B273" s="59" t="s">
        <v>11</v>
      </c>
      <c r="C273" s="61" t="str">
        <f>'Getting Started'!$G$11</f>
        <v/>
      </c>
      <c r="D273" s="59" t="s">
        <v>12</v>
      </c>
      <c r="E273" s="60" t="str">
        <f>'Getting Started'!$I$11</f>
        <v/>
      </c>
      <c r="F273" s="57"/>
    </row>
    <row r="274" ht="31.5" customHeight="1">
      <c r="A274" s="57"/>
      <c r="B274" s="59" t="s">
        <v>13</v>
      </c>
      <c r="C274" s="60" t="str">
        <f>'Getting Started'!$G$12</f>
        <v/>
      </c>
      <c r="D274" s="59" t="s">
        <v>14</v>
      </c>
      <c r="E274" s="60" t="str">
        <f>'Getting Started'!$I$12</f>
        <v/>
      </c>
      <c r="F274" s="57"/>
    </row>
    <row r="275" ht="31.5" customHeight="1">
      <c r="A275" s="57"/>
      <c r="B275" s="59" t="s">
        <v>15</v>
      </c>
      <c r="C275" s="62" t="str">
        <f>'Getting Started'!$G$14</f>
        <v/>
      </c>
      <c r="D275" s="59" t="s">
        <v>16</v>
      </c>
      <c r="E275" s="60" t="str">
        <f>'Getting Started'!$I$14</f>
        <v/>
      </c>
      <c r="F275" s="57"/>
    </row>
    <row r="276" ht="31.5" customHeight="1">
      <c r="A276" s="57"/>
      <c r="B276" s="63" t="s">
        <v>22</v>
      </c>
      <c r="C276" s="63" t="s">
        <v>23</v>
      </c>
      <c r="D276" s="63" t="s">
        <v>24</v>
      </c>
      <c r="E276" s="63" t="s">
        <v>25</v>
      </c>
      <c r="F276" s="57"/>
    </row>
    <row r="277" ht="31.5" customHeight="1">
      <c r="A277" s="57"/>
      <c r="B277" s="64"/>
      <c r="C277" s="64"/>
      <c r="D277" s="64"/>
      <c r="E277" s="64"/>
      <c r="F277" s="57"/>
    </row>
    <row r="278" ht="31.5" customHeight="1">
      <c r="A278" s="57"/>
      <c r="B278" s="64"/>
      <c r="C278" s="64"/>
      <c r="D278" s="64"/>
      <c r="E278" s="64"/>
      <c r="F278" s="57"/>
    </row>
    <row r="279" ht="31.5" customHeight="1">
      <c r="A279" s="57"/>
      <c r="B279" s="64"/>
      <c r="C279" s="64"/>
      <c r="D279" s="64"/>
      <c r="E279" s="64"/>
      <c r="F279" s="57"/>
    </row>
    <row r="280" ht="31.5" customHeight="1">
      <c r="A280" s="57"/>
      <c r="B280" s="64"/>
      <c r="C280" s="64"/>
      <c r="D280" s="64"/>
      <c r="E280" s="64"/>
      <c r="F280" s="57"/>
    </row>
    <row r="281" ht="31.5" customHeight="1">
      <c r="A281" s="57"/>
      <c r="B281" s="64"/>
      <c r="C281" s="64"/>
      <c r="D281" s="64"/>
      <c r="E281" s="64"/>
      <c r="F281" s="57"/>
    </row>
    <row r="282" ht="31.5" customHeight="1">
      <c r="A282" s="57"/>
      <c r="B282" s="64"/>
      <c r="C282" s="64"/>
      <c r="D282" s="64"/>
      <c r="E282" s="64"/>
      <c r="F282" s="57"/>
    </row>
    <row r="283" ht="31.5" customHeight="1">
      <c r="A283" s="57"/>
      <c r="B283" s="64"/>
      <c r="C283" s="64"/>
      <c r="D283" s="64"/>
      <c r="E283" s="64"/>
      <c r="F283" s="57"/>
    </row>
    <row r="284" ht="31.5" customHeight="1">
      <c r="A284" s="57"/>
      <c r="B284" s="64"/>
      <c r="C284" s="64"/>
      <c r="D284" s="64"/>
      <c r="E284" s="64"/>
      <c r="F284" s="57"/>
    </row>
    <row r="285" ht="31.5" customHeight="1">
      <c r="A285" s="57"/>
      <c r="B285" s="64"/>
      <c r="C285" s="64"/>
      <c r="D285" s="64"/>
      <c r="E285" s="64"/>
      <c r="F285" s="57"/>
    </row>
    <row r="286" ht="31.5" customHeight="1">
      <c r="A286" s="57"/>
      <c r="B286" s="64"/>
      <c r="C286" s="64"/>
      <c r="D286" s="64"/>
      <c r="E286" s="64"/>
      <c r="F286" s="57"/>
    </row>
    <row r="287" ht="31.5" customHeight="1">
      <c r="A287" s="57"/>
      <c r="B287" s="64"/>
      <c r="C287" s="64"/>
      <c r="D287" s="64"/>
      <c r="E287" s="64"/>
      <c r="F287" s="57"/>
    </row>
    <row r="288" ht="31.5" customHeight="1">
      <c r="A288" s="57"/>
      <c r="B288" s="64"/>
      <c r="C288" s="64"/>
      <c r="D288" s="64"/>
      <c r="E288" s="64"/>
      <c r="F288" s="57"/>
    </row>
    <row r="289" ht="31.5" customHeight="1">
      <c r="A289" s="57"/>
      <c r="B289" s="64"/>
      <c r="C289" s="64"/>
      <c r="D289" s="64"/>
      <c r="E289" s="64"/>
      <c r="F289" s="57"/>
    </row>
    <row r="290" ht="31.5" customHeight="1">
      <c r="A290" s="57"/>
      <c r="B290" s="64"/>
      <c r="C290" s="64"/>
      <c r="D290" s="64"/>
      <c r="E290" s="64"/>
      <c r="F290" s="57"/>
    </row>
    <row r="291" ht="31.5" customHeight="1">
      <c r="A291" s="57"/>
      <c r="B291" s="64"/>
      <c r="C291" s="64"/>
      <c r="D291" s="64"/>
      <c r="E291" s="64"/>
      <c r="F291" s="57"/>
    </row>
    <row r="292" ht="31.5" customHeight="1">
      <c r="A292" s="57"/>
      <c r="B292" s="64"/>
      <c r="C292" s="64"/>
      <c r="D292" s="64"/>
      <c r="E292" s="64"/>
      <c r="F292" s="57"/>
    </row>
    <row r="293" ht="31.5" customHeight="1">
      <c r="A293" s="57"/>
      <c r="B293" s="64"/>
      <c r="C293" s="64"/>
      <c r="D293" s="64"/>
      <c r="E293" s="64"/>
      <c r="F293" s="57"/>
    </row>
    <row r="294" ht="31.5" customHeight="1">
      <c r="A294" s="57"/>
      <c r="B294" s="64"/>
      <c r="C294" s="64"/>
      <c r="D294" s="64"/>
      <c r="E294" s="64"/>
      <c r="F294" s="57"/>
    </row>
    <row r="295" ht="31.5" customHeight="1">
      <c r="A295" s="57"/>
      <c r="B295" s="64"/>
      <c r="C295" s="64"/>
      <c r="D295" s="64"/>
      <c r="E295" s="64"/>
      <c r="F295" s="57"/>
    </row>
    <row r="296" ht="31.5" customHeight="1">
      <c r="A296" s="65" t="s">
        <v>36</v>
      </c>
    </row>
    <row r="297" ht="15.75" customHeight="1">
      <c r="A297" s="57"/>
      <c r="B297" s="57"/>
      <c r="C297" s="57"/>
      <c r="D297" s="57"/>
      <c r="E297" s="57"/>
      <c r="F297" s="57"/>
    </row>
    <row r="298" ht="31.5" customHeight="1">
      <c r="A298" s="57"/>
      <c r="B298" s="58" t="s">
        <v>5</v>
      </c>
      <c r="D298" s="58" t="s">
        <v>6</v>
      </c>
      <c r="F298" s="57"/>
    </row>
    <row r="299" ht="15.75" customHeight="1">
      <c r="A299" s="57"/>
      <c r="B299" s="59" t="s">
        <v>8</v>
      </c>
      <c r="C299" s="60" t="str">
        <f>'Getting Started'!$G$10</f>
        <v/>
      </c>
      <c r="D299" s="59" t="s">
        <v>9</v>
      </c>
      <c r="E299" s="60" t="str">
        <f>'Getting Started'!$I$10</f>
        <v/>
      </c>
      <c r="F299" s="57"/>
    </row>
    <row r="300" ht="15.75" customHeight="1">
      <c r="A300" s="57"/>
      <c r="B300" s="59" t="s">
        <v>11</v>
      </c>
      <c r="C300" s="61" t="str">
        <f>'Getting Started'!$G$11</f>
        <v/>
      </c>
      <c r="D300" s="59" t="s">
        <v>12</v>
      </c>
      <c r="E300" s="60" t="str">
        <f>'Getting Started'!$I$11</f>
        <v/>
      </c>
      <c r="F300" s="57"/>
    </row>
    <row r="301" ht="31.5" customHeight="1">
      <c r="A301" s="57"/>
      <c r="B301" s="59" t="s">
        <v>13</v>
      </c>
      <c r="C301" s="60" t="str">
        <f>'Getting Started'!$G$12</f>
        <v/>
      </c>
      <c r="D301" s="59" t="s">
        <v>14</v>
      </c>
      <c r="E301" s="60" t="str">
        <f>'Getting Started'!$I$12</f>
        <v/>
      </c>
      <c r="F301" s="57"/>
    </row>
    <row r="302" ht="31.5" customHeight="1">
      <c r="A302" s="57"/>
      <c r="B302" s="59" t="s">
        <v>15</v>
      </c>
      <c r="C302" s="62" t="str">
        <f>'Getting Started'!$G$14</f>
        <v/>
      </c>
      <c r="D302" s="59" t="s">
        <v>16</v>
      </c>
      <c r="E302" s="60" t="str">
        <f>'Getting Started'!$I$14</f>
        <v/>
      </c>
      <c r="F302" s="57"/>
    </row>
    <row r="303" ht="31.5" customHeight="1">
      <c r="A303" s="57"/>
      <c r="B303" s="63" t="s">
        <v>22</v>
      </c>
      <c r="C303" s="63" t="s">
        <v>23</v>
      </c>
      <c r="D303" s="63" t="s">
        <v>24</v>
      </c>
      <c r="E303" s="63" t="s">
        <v>25</v>
      </c>
      <c r="F303" s="57"/>
    </row>
    <row r="304" ht="31.5" customHeight="1">
      <c r="A304" s="57"/>
      <c r="B304" s="64"/>
      <c r="C304" s="64"/>
      <c r="D304" s="64"/>
      <c r="E304" s="64"/>
      <c r="F304" s="57"/>
    </row>
    <row r="305" ht="31.5" customHeight="1">
      <c r="A305" s="57"/>
      <c r="B305" s="64"/>
      <c r="C305" s="64"/>
      <c r="D305" s="64"/>
      <c r="E305" s="64"/>
      <c r="F305" s="57"/>
    </row>
    <row r="306" ht="31.5" customHeight="1">
      <c r="A306" s="57"/>
      <c r="B306" s="64"/>
      <c r="C306" s="64"/>
      <c r="D306" s="64"/>
      <c r="E306" s="64"/>
      <c r="F306" s="57"/>
    </row>
    <row r="307" ht="31.5" customHeight="1">
      <c r="A307" s="57"/>
      <c r="B307" s="64"/>
      <c r="C307" s="64"/>
      <c r="D307" s="64"/>
      <c r="E307" s="64"/>
      <c r="F307" s="57"/>
    </row>
    <row r="308" ht="31.5" customHeight="1">
      <c r="A308" s="57"/>
      <c r="B308" s="64"/>
      <c r="C308" s="64"/>
      <c r="D308" s="64"/>
      <c r="E308" s="64"/>
      <c r="F308" s="57"/>
    </row>
    <row r="309" ht="31.5" customHeight="1">
      <c r="A309" s="57"/>
      <c r="B309" s="64"/>
      <c r="C309" s="64"/>
      <c r="D309" s="64"/>
      <c r="E309" s="64"/>
      <c r="F309" s="57"/>
    </row>
    <row r="310" ht="31.5" customHeight="1">
      <c r="A310" s="57"/>
      <c r="B310" s="64"/>
      <c r="C310" s="64"/>
      <c r="D310" s="64"/>
      <c r="E310" s="64"/>
      <c r="F310" s="57"/>
    </row>
    <row r="311" ht="31.5" customHeight="1">
      <c r="A311" s="57"/>
      <c r="B311" s="64"/>
      <c r="C311" s="64"/>
      <c r="D311" s="64"/>
      <c r="E311" s="64"/>
      <c r="F311" s="57"/>
    </row>
    <row r="312" ht="31.5" customHeight="1">
      <c r="A312" s="57"/>
      <c r="B312" s="64"/>
      <c r="C312" s="64"/>
      <c r="D312" s="64"/>
      <c r="E312" s="64"/>
      <c r="F312" s="57"/>
    </row>
    <row r="313" ht="31.5" customHeight="1">
      <c r="A313" s="57"/>
      <c r="B313" s="64"/>
      <c r="C313" s="64"/>
      <c r="D313" s="64"/>
      <c r="E313" s="64"/>
      <c r="F313" s="57"/>
    </row>
    <row r="314" ht="31.5" customHeight="1">
      <c r="A314" s="57"/>
      <c r="B314" s="64"/>
      <c r="C314" s="64"/>
      <c r="D314" s="64"/>
      <c r="E314" s="64"/>
      <c r="F314" s="57"/>
    </row>
    <row r="315" ht="31.5" customHeight="1">
      <c r="A315" s="57"/>
      <c r="B315" s="64"/>
      <c r="C315" s="64"/>
      <c r="D315" s="64"/>
      <c r="E315" s="64"/>
      <c r="F315" s="57"/>
    </row>
    <row r="316" ht="31.5" customHeight="1">
      <c r="A316" s="57"/>
      <c r="B316" s="64"/>
      <c r="C316" s="64"/>
      <c r="D316" s="64"/>
      <c r="E316" s="64"/>
      <c r="F316" s="57"/>
    </row>
    <row r="317" ht="31.5" customHeight="1">
      <c r="A317" s="57"/>
      <c r="B317" s="64"/>
      <c r="C317" s="64"/>
      <c r="D317" s="64"/>
      <c r="E317" s="64"/>
      <c r="F317" s="57"/>
    </row>
    <row r="318" ht="31.5" customHeight="1">
      <c r="A318" s="57"/>
      <c r="B318" s="64"/>
      <c r="C318" s="64"/>
      <c r="D318" s="64"/>
      <c r="E318" s="64"/>
      <c r="F318" s="57"/>
    </row>
    <row r="319" ht="31.5" customHeight="1">
      <c r="A319" s="57"/>
      <c r="B319" s="64"/>
      <c r="C319" s="64"/>
      <c r="D319" s="64"/>
      <c r="E319" s="64"/>
      <c r="F319" s="57"/>
    </row>
    <row r="320" ht="31.5" customHeight="1">
      <c r="A320" s="57"/>
      <c r="B320" s="64"/>
      <c r="C320" s="64"/>
      <c r="D320" s="64"/>
      <c r="E320" s="64"/>
      <c r="F320" s="57"/>
    </row>
    <row r="321" ht="31.5" customHeight="1">
      <c r="A321" s="57"/>
      <c r="B321" s="64"/>
      <c r="C321" s="64"/>
      <c r="D321" s="64"/>
      <c r="E321" s="64"/>
      <c r="F321" s="57"/>
    </row>
    <row r="322" ht="31.5" customHeight="1">
      <c r="A322" s="57"/>
      <c r="B322" s="64"/>
      <c r="C322" s="64"/>
      <c r="D322" s="64"/>
      <c r="E322" s="64"/>
      <c r="F322" s="57"/>
    </row>
    <row r="323" ht="31.5" customHeight="1">
      <c r="A323" s="65" t="s">
        <v>37</v>
      </c>
    </row>
    <row r="324" ht="15.75" customHeight="1">
      <c r="A324" s="57"/>
      <c r="B324" s="57"/>
      <c r="C324" s="57"/>
      <c r="D324" s="57"/>
      <c r="E324" s="57"/>
      <c r="F324" s="57"/>
    </row>
    <row r="325" ht="31.5" customHeight="1">
      <c r="A325" s="57"/>
      <c r="B325" s="58" t="s">
        <v>5</v>
      </c>
      <c r="D325" s="58" t="s">
        <v>6</v>
      </c>
      <c r="F325" s="57"/>
    </row>
    <row r="326" ht="15.75" customHeight="1">
      <c r="A326" s="57"/>
      <c r="B326" s="59" t="s">
        <v>8</v>
      </c>
      <c r="C326" s="60" t="str">
        <f>'Getting Started'!$G$10</f>
        <v/>
      </c>
      <c r="D326" s="59" t="s">
        <v>9</v>
      </c>
      <c r="E326" s="60" t="str">
        <f>'Getting Started'!$I$10</f>
        <v/>
      </c>
      <c r="F326" s="57"/>
    </row>
    <row r="327" ht="15.75" customHeight="1">
      <c r="A327" s="57"/>
      <c r="B327" s="59" t="s">
        <v>11</v>
      </c>
      <c r="C327" s="61" t="str">
        <f>'Getting Started'!$G$11</f>
        <v/>
      </c>
      <c r="D327" s="59" t="s">
        <v>12</v>
      </c>
      <c r="E327" s="60" t="str">
        <f>'Getting Started'!$I$11</f>
        <v/>
      </c>
      <c r="F327" s="57"/>
    </row>
    <row r="328" ht="31.5" customHeight="1">
      <c r="A328" s="57"/>
      <c r="B328" s="59" t="s">
        <v>13</v>
      </c>
      <c r="C328" s="60" t="str">
        <f>'Getting Started'!$G$12</f>
        <v/>
      </c>
      <c r="D328" s="59" t="s">
        <v>14</v>
      </c>
      <c r="E328" s="60" t="str">
        <f>'Getting Started'!$I$12</f>
        <v/>
      </c>
      <c r="F328" s="57"/>
    </row>
    <row r="329" ht="31.5" customHeight="1">
      <c r="A329" s="57"/>
      <c r="B329" s="59" t="s">
        <v>15</v>
      </c>
      <c r="C329" s="62" t="str">
        <f>'Getting Started'!$G$14</f>
        <v/>
      </c>
      <c r="D329" s="59" t="s">
        <v>16</v>
      </c>
      <c r="E329" s="60" t="str">
        <f>'Getting Started'!$I$14</f>
        <v/>
      </c>
      <c r="F329" s="57"/>
    </row>
    <row r="330" ht="31.5" customHeight="1">
      <c r="A330" s="57"/>
      <c r="B330" s="63" t="s">
        <v>22</v>
      </c>
      <c r="C330" s="63" t="s">
        <v>23</v>
      </c>
      <c r="D330" s="63" t="s">
        <v>24</v>
      </c>
      <c r="E330" s="63" t="s">
        <v>25</v>
      </c>
      <c r="F330" s="57"/>
    </row>
    <row r="331" ht="31.5" customHeight="1">
      <c r="A331" s="57"/>
      <c r="B331" s="64"/>
      <c r="C331" s="64"/>
      <c r="D331" s="64"/>
      <c r="E331" s="64"/>
      <c r="F331" s="57"/>
    </row>
    <row r="332" ht="31.5" customHeight="1">
      <c r="A332" s="57"/>
      <c r="B332" s="64"/>
      <c r="C332" s="64"/>
      <c r="D332" s="64"/>
      <c r="E332" s="64"/>
      <c r="F332" s="57"/>
    </row>
    <row r="333" ht="31.5" customHeight="1">
      <c r="A333" s="57"/>
      <c r="B333" s="64"/>
      <c r="C333" s="64"/>
      <c r="D333" s="64"/>
      <c r="E333" s="64"/>
      <c r="F333" s="57"/>
    </row>
    <row r="334" ht="31.5" customHeight="1">
      <c r="A334" s="57"/>
      <c r="B334" s="64"/>
      <c r="C334" s="64"/>
      <c r="D334" s="64"/>
      <c r="E334" s="64"/>
      <c r="F334" s="57"/>
    </row>
    <row r="335" ht="31.5" customHeight="1">
      <c r="A335" s="57"/>
      <c r="B335" s="64"/>
      <c r="C335" s="64"/>
      <c r="D335" s="64"/>
      <c r="E335" s="64"/>
      <c r="F335" s="57"/>
    </row>
    <row r="336" ht="31.5" customHeight="1">
      <c r="A336" s="57"/>
      <c r="B336" s="64"/>
      <c r="C336" s="64"/>
      <c r="D336" s="64"/>
      <c r="E336" s="64"/>
      <c r="F336" s="57"/>
    </row>
    <row r="337" ht="31.5" customHeight="1">
      <c r="A337" s="57"/>
      <c r="B337" s="64"/>
      <c r="C337" s="64"/>
      <c r="D337" s="64"/>
      <c r="E337" s="64"/>
      <c r="F337" s="57"/>
    </row>
    <row r="338" ht="31.5" customHeight="1">
      <c r="A338" s="57"/>
      <c r="B338" s="64"/>
      <c r="C338" s="64"/>
      <c r="D338" s="64"/>
      <c r="E338" s="64"/>
      <c r="F338" s="57"/>
    </row>
    <row r="339" ht="31.5" customHeight="1">
      <c r="A339" s="57"/>
      <c r="B339" s="64"/>
      <c r="C339" s="64"/>
      <c r="D339" s="64"/>
      <c r="E339" s="64"/>
      <c r="F339" s="57"/>
    </row>
    <row r="340" ht="31.5" customHeight="1">
      <c r="A340" s="57"/>
      <c r="B340" s="64"/>
      <c r="C340" s="64"/>
      <c r="D340" s="64"/>
      <c r="E340" s="64"/>
      <c r="F340" s="57"/>
    </row>
    <row r="341" ht="31.5" customHeight="1">
      <c r="A341" s="57"/>
      <c r="B341" s="64"/>
      <c r="C341" s="64"/>
      <c r="D341" s="64"/>
      <c r="E341" s="64"/>
      <c r="F341" s="57"/>
    </row>
    <row r="342" ht="31.5" customHeight="1">
      <c r="A342" s="57"/>
      <c r="B342" s="64"/>
      <c r="C342" s="64"/>
      <c r="D342" s="64"/>
      <c r="E342" s="64"/>
      <c r="F342" s="57"/>
    </row>
    <row r="343" ht="31.5" customHeight="1">
      <c r="A343" s="57"/>
      <c r="B343" s="64"/>
      <c r="C343" s="64"/>
      <c r="D343" s="64"/>
      <c r="E343" s="64"/>
      <c r="F343" s="57"/>
    </row>
    <row r="344" ht="31.5" customHeight="1">
      <c r="A344" s="57"/>
      <c r="B344" s="64"/>
      <c r="C344" s="64"/>
      <c r="D344" s="64"/>
      <c r="E344" s="64"/>
      <c r="F344" s="57"/>
    </row>
    <row r="345" ht="31.5" customHeight="1">
      <c r="A345" s="57"/>
      <c r="B345" s="64"/>
      <c r="C345" s="64"/>
      <c r="D345" s="64"/>
      <c r="E345" s="64"/>
      <c r="F345" s="57"/>
    </row>
    <row r="346" ht="31.5" customHeight="1">
      <c r="A346" s="57"/>
      <c r="B346" s="64"/>
      <c r="C346" s="64"/>
      <c r="D346" s="64"/>
      <c r="E346" s="64"/>
      <c r="F346" s="57"/>
    </row>
    <row r="347" ht="31.5" customHeight="1">
      <c r="A347" s="57"/>
      <c r="B347" s="64"/>
      <c r="C347" s="64"/>
      <c r="D347" s="64"/>
      <c r="E347" s="64"/>
      <c r="F347" s="57"/>
    </row>
    <row r="348" ht="31.5" customHeight="1">
      <c r="A348" s="57"/>
      <c r="B348" s="64"/>
      <c r="C348" s="64"/>
      <c r="D348" s="64"/>
      <c r="E348" s="64"/>
      <c r="F348" s="57"/>
    </row>
    <row r="349" ht="31.5" customHeight="1">
      <c r="A349" s="57"/>
      <c r="B349" s="64"/>
      <c r="C349" s="64"/>
      <c r="D349" s="64"/>
      <c r="E349" s="64"/>
      <c r="F349" s="57"/>
    </row>
    <row r="350" ht="31.5" customHeight="1">
      <c r="A350" s="65" t="s">
        <v>38</v>
      </c>
    </row>
    <row r="351" ht="15.75" customHeight="1">
      <c r="A351" s="57"/>
      <c r="B351" s="57"/>
      <c r="C351" s="57"/>
      <c r="D351" s="57"/>
      <c r="E351" s="57"/>
      <c r="F351" s="57"/>
    </row>
    <row r="352" ht="31.5" customHeight="1">
      <c r="A352" s="57"/>
      <c r="B352" s="58" t="s">
        <v>5</v>
      </c>
      <c r="D352" s="58" t="s">
        <v>6</v>
      </c>
      <c r="F352" s="57"/>
    </row>
    <row r="353" ht="15.75" customHeight="1">
      <c r="A353" s="57"/>
      <c r="B353" s="59" t="s">
        <v>8</v>
      </c>
      <c r="C353" s="60" t="str">
        <f>'Getting Started'!$G$10</f>
        <v/>
      </c>
      <c r="D353" s="59" t="s">
        <v>9</v>
      </c>
      <c r="E353" s="60" t="str">
        <f>'Getting Started'!$I$10</f>
        <v/>
      </c>
      <c r="F353" s="57"/>
    </row>
    <row r="354" ht="15.75" customHeight="1">
      <c r="A354" s="57"/>
      <c r="B354" s="59" t="s">
        <v>11</v>
      </c>
      <c r="C354" s="61" t="str">
        <f>'Getting Started'!$G$11</f>
        <v/>
      </c>
      <c r="D354" s="59" t="s">
        <v>12</v>
      </c>
      <c r="E354" s="60" t="str">
        <f>'Getting Started'!$I$11</f>
        <v/>
      </c>
      <c r="F354" s="57"/>
    </row>
    <row r="355" ht="31.5" customHeight="1">
      <c r="A355" s="57"/>
      <c r="B355" s="59" t="s">
        <v>13</v>
      </c>
      <c r="C355" s="60" t="str">
        <f>'Getting Started'!$G$12</f>
        <v/>
      </c>
      <c r="D355" s="59" t="s">
        <v>14</v>
      </c>
      <c r="E355" s="60" t="str">
        <f>'Getting Started'!$I$12</f>
        <v/>
      </c>
      <c r="F355" s="57"/>
    </row>
    <row r="356" ht="31.5" customHeight="1">
      <c r="A356" s="57"/>
      <c r="B356" s="59" t="s">
        <v>15</v>
      </c>
      <c r="C356" s="62" t="str">
        <f>'Getting Started'!$G$14</f>
        <v/>
      </c>
      <c r="D356" s="59" t="s">
        <v>16</v>
      </c>
      <c r="E356" s="60" t="str">
        <f>'Getting Started'!$I$14</f>
        <v/>
      </c>
      <c r="F356" s="57"/>
    </row>
    <row r="357" ht="31.5" customHeight="1">
      <c r="A357" s="57"/>
      <c r="B357" s="63" t="s">
        <v>22</v>
      </c>
      <c r="C357" s="63" t="s">
        <v>23</v>
      </c>
      <c r="D357" s="63" t="s">
        <v>24</v>
      </c>
      <c r="E357" s="63" t="s">
        <v>25</v>
      </c>
      <c r="F357" s="57"/>
    </row>
    <row r="358" ht="31.5" customHeight="1">
      <c r="A358" s="57"/>
      <c r="B358" s="64"/>
      <c r="C358" s="64"/>
      <c r="D358" s="64"/>
      <c r="E358" s="64"/>
      <c r="F358" s="57"/>
    </row>
    <row r="359" ht="31.5" customHeight="1">
      <c r="A359" s="57"/>
      <c r="B359" s="64"/>
      <c r="C359" s="64"/>
      <c r="D359" s="64"/>
      <c r="E359" s="64"/>
      <c r="F359" s="57"/>
    </row>
    <row r="360" ht="31.5" customHeight="1">
      <c r="A360" s="57"/>
      <c r="B360" s="64"/>
      <c r="C360" s="64"/>
      <c r="D360" s="64"/>
      <c r="E360" s="64"/>
      <c r="F360" s="57"/>
    </row>
    <row r="361" ht="31.5" customHeight="1">
      <c r="A361" s="57"/>
      <c r="B361" s="64"/>
      <c r="C361" s="64"/>
      <c r="D361" s="64"/>
      <c r="E361" s="64"/>
      <c r="F361" s="57"/>
    </row>
    <row r="362" ht="31.5" customHeight="1">
      <c r="A362" s="57"/>
      <c r="B362" s="64"/>
      <c r="C362" s="64"/>
      <c r="D362" s="64"/>
      <c r="E362" s="64"/>
      <c r="F362" s="57"/>
    </row>
    <row r="363" ht="31.5" customHeight="1">
      <c r="A363" s="57"/>
      <c r="B363" s="64"/>
      <c r="C363" s="64"/>
      <c r="D363" s="64"/>
      <c r="E363" s="64"/>
      <c r="F363" s="57"/>
    </row>
    <row r="364" ht="31.5" customHeight="1">
      <c r="A364" s="57"/>
      <c r="B364" s="64"/>
      <c r="C364" s="64"/>
      <c r="D364" s="64"/>
      <c r="E364" s="64"/>
      <c r="F364" s="57"/>
    </row>
    <row r="365" ht="31.5" customHeight="1">
      <c r="A365" s="57"/>
      <c r="B365" s="64"/>
      <c r="C365" s="64"/>
      <c r="D365" s="64"/>
      <c r="E365" s="64"/>
      <c r="F365" s="57"/>
    </row>
    <row r="366" ht="31.5" customHeight="1">
      <c r="A366" s="57"/>
      <c r="B366" s="64"/>
      <c r="C366" s="64"/>
      <c r="D366" s="64"/>
      <c r="E366" s="64"/>
      <c r="F366" s="57"/>
    </row>
    <row r="367" ht="31.5" customHeight="1">
      <c r="A367" s="57"/>
      <c r="B367" s="64"/>
      <c r="C367" s="64"/>
      <c r="D367" s="64"/>
      <c r="E367" s="64"/>
      <c r="F367" s="57"/>
    </row>
    <row r="368" ht="31.5" customHeight="1">
      <c r="A368" s="57"/>
      <c r="B368" s="64"/>
      <c r="C368" s="64"/>
      <c r="D368" s="64"/>
      <c r="E368" s="64"/>
      <c r="F368" s="57"/>
    </row>
    <row r="369" ht="31.5" customHeight="1">
      <c r="A369" s="57"/>
      <c r="B369" s="64"/>
      <c r="C369" s="64"/>
      <c r="D369" s="64"/>
      <c r="E369" s="64"/>
      <c r="F369" s="57"/>
    </row>
    <row r="370" ht="31.5" customHeight="1">
      <c r="A370" s="57"/>
      <c r="B370" s="64"/>
      <c r="C370" s="64"/>
      <c r="D370" s="64"/>
      <c r="E370" s="64"/>
      <c r="F370" s="57"/>
    </row>
    <row r="371" ht="31.5" customHeight="1">
      <c r="A371" s="57"/>
      <c r="B371" s="64"/>
      <c r="C371" s="64"/>
      <c r="D371" s="64"/>
      <c r="E371" s="64"/>
      <c r="F371" s="57"/>
    </row>
    <row r="372" ht="31.5" customHeight="1">
      <c r="A372" s="57"/>
      <c r="B372" s="64"/>
      <c r="C372" s="64"/>
      <c r="D372" s="64"/>
      <c r="E372" s="64"/>
      <c r="F372" s="57"/>
    </row>
    <row r="373" ht="31.5" customHeight="1">
      <c r="A373" s="57"/>
      <c r="B373" s="64"/>
      <c r="C373" s="64"/>
      <c r="D373" s="64"/>
      <c r="E373" s="64"/>
      <c r="F373" s="57"/>
    </row>
    <row r="374" ht="31.5" customHeight="1">
      <c r="A374" s="57"/>
      <c r="B374" s="64"/>
      <c r="C374" s="64"/>
      <c r="D374" s="64"/>
      <c r="E374" s="64"/>
      <c r="F374" s="57"/>
    </row>
    <row r="375" ht="31.5" customHeight="1">
      <c r="A375" s="57"/>
      <c r="B375" s="64"/>
      <c r="C375" s="64"/>
      <c r="D375" s="64"/>
      <c r="E375" s="64"/>
      <c r="F375" s="57"/>
    </row>
    <row r="376" ht="31.5" customHeight="1">
      <c r="A376" s="57"/>
      <c r="B376" s="64"/>
      <c r="C376" s="64"/>
      <c r="D376" s="64"/>
      <c r="E376" s="64"/>
      <c r="F376" s="57"/>
    </row>
    <row r="377" ht="31.5" customHeight="1">
      <c r="A377" s="65" t="s">
        <v>39</v>
      </c>
    </row>
    <row r="378" ht="15.75" customHeight="1">
      <c r="A378" s="57"/>
      <c r="B378" s="57"/>
      <c r="C378" s="57"/>
      <c r="D378" s="57"/>
      <c r="E378" s="57"/>
      <c r="F378" s="57"/>
    </row>
    <row r="379" ht="31.5" customHeight="1">
      <c r="A379" s="57"/>
      <c r="B379" s="58" t="s">
        <v>5</v>
      </c>
      <c r="D379" s="58" t="s">
        <v>6</v>
      </c>
      <c r="F379" s="57"/>
    </row>
    <row r="380" ht="15.75" customHeight="1">
      <c r="A380" s="57"/>
      <c r="B380" s="59" t="s">
        <v>8</v>
      </c>
      <c r="C380" s="60" t="str">
        <f>'Getting Started'!$G$10</f>
        <v/>
      </c>
      <c r="D380" s="59" t="s">
        <v>9</v>
      </c>
      <c r="E380" s="60" t="str">
        <f>'Getting Started'!$I$10</f>
        <v/>
      </c>
      <c r="F380" s="57"/>
    </row>
    <row r="381" ht="15.75" customHeight="1">
      <c r="A381" s="57"/>
      <c r="B381" s="59" t="s">
        <v>11</v>
      </c>
      <c r="C381" s="61" t="str">
        <f>'Getting Started'!$G$11</f>
        <v/>
      </c>
      <c r="D381" s="59" t="s">
        <v>12</v>
      </c>
      <c r="E381" s="60" t="str">
        <f>'Getting Started'!$I$11</f>
        <v/>
      </c>
      <c r="F381" s="57"/>
    </row>
    <row r="382" ht="31.5" customHeight="1">
      <c r="A382" s="57"/>
      <c r="B382" s="59" t="s">
        <v>13</v>
      </c>
      <c r="C382" s="60" t="str">
        <f>'Getting Started'!$G$12</f>
        <v/>
      </c>
      <c r="D382" s="59" t="s">
        <v>14</v>
      </c>
      <c r="E382" s="60" t="str">
        <f>'Getting Started'!$I$12</f>
        <v/>
      </c>
      <c r="F382" s="57"/>
    </row>
    <row r="383" ht="31.5" customHeight="1">
      <c r="A383" s="57"/>
      <c r="B383" s="59" t="s">
        <v>15</v>
      </c>
      <c r="C383" s="62" t="str">
        <f>'Getting Started'!$G$14</f>
        <v/>
      </c>
      <c r="D383" s="59" t="s">
        <v>16</v>
      </c>
      <c r="E383" s="60" t="str">
        <f>'Getting Started'!$I$14</f>
        <v/>
      </c>
      <c r="F383" s="57"/>
    </row>
    <row r="384" ht="31.5" customHeight="1">
      <c r="A384" s="57"/>
      <c r="B384" s="63" t="s">
        <v>22</v>
      </c>
      <c r="C384" s="63" t="s">
        <v>23</v>
      </c>
      <c r="D384" s="63" t="s">
        <v>24</v>
      </c>
      <c r="E384" s="63" t="s">
        <v>25</v>
      </c>
      <c r="F384" s="57"/>
    </row>
    <row r="385" ht="31.5" customHeight="1">
      <c r="A385" s="57"/>
      <c r="B385" s="64"/>
      <c r="C385" s="64"/>
      <c r="D385" s="64"/>
      <c r="E385" s="64"/>
      <c r="F385" s="57"/>
    </row>
    <row r="386" ht="31.5" customHeight="1">
      <c r="A386" s="57"/>
      <c r="B386" s="64"/>
      <c r="C386" s="64"/>
      <c r="D386" s="64"/>
      <c r="E386" s="64"/>
      <c r="F386" s="57"/>
    </row>
    <row r="387" ht="31.5" customHeight="1">
      <c r="A387" s="57"/>
      <c r="B387" s="64"/>
      <c r="C387" s="64"/>
      <c r="D387" s="64"/>
      <c r="E387" s="64"/>
      <c r="F387" s="57"/>
    </row>
    <row r="388" ht="31.5" customHeight="1">
      <c r="A388" s="57"/>
      <c r="B388" s="64"/>
      <c r="C388" s="64"/>
      <c r="D388" s="64"/>
      <c r="E388" s="64"/>
      <c r="F388" s="57"/>
    </row>
    <row r="389" ht="31.5" customHeight="1">
      <c r="A389" s="57"/>
      <c r="B389" s="64"/>
      <c r="C389" s="64"/>
      <c r="D389" s="64"/>
      <c r="E389" s="64"/>
      <c r="F389" s="57"/>
    </row>
    <row r="390" ht="31.5" customHeight="1">
      <c r="A390" s="57"/>
      <c r="B390" s="64"/>
      <c r="C390" s="64"/>
      <c r="D390" s="64"/>
      <c r="E390" s="64"/>
      <c r="F390" s="57"/>
    </row>
    <row r="391" ht="31.5" customHeight="1">
      <c r="A391" s="57"/>
      <c r="B391" s="64"/>
      <c r="C391" s="64"/>
      <c r="D391" s="64"/>
      <c r="E391" s="64"/>
      <c r="F391" s="57"/>
    </row>
    <row r="392" ht="31.5" customHeight="1">
      <c r="A392" s="57"/>
      <c r="B392" s="64"/>
      <c r="C392" s="64"/>
      <c r="D392" s="64"/>
      <c r="E392" s="64"/>
      <c r="F392" s="57"/>
    </row>
    <row r="393" ht="31.5" customHeight="1">
      <c r="A393" s="57"/>
      <c r="B393" s="64"/>
      <c r="C393" s="64"/>
      <c r="D393" s="64"/>
      <c r="E393" s="64"/>
      <c r="F393" s="57"/>
    </row>
    <row r="394" ht="31.5" customHeight="1">
      <c r="A394" s="57"/>
      <c r="B394" s="64"/>
      <c r="C394" s="64"/>
      <c r="D394" s="64"/>
      <c r="E394" s="64"/>
      <c r="F394" s="57"/>
    </row>
    <row r="395" ht="31.5" customHeight="1">
      <c r="A395" s="57"/>
      <c r="B395" s="64"/>
      <c r="C395" s="64"/>
      <c r="D395" s="64"/>
      <c r="E395" s="64"/>
      <c r="F395" s="57"/>
    </row>
    <row r="396" ht="31.5" customHeight="1">
      <c r="A396" s="57"/>
      <c r="B396" s="64"/>
      <c r="C396" s="64"/>
      <c r="D396" s="64"/>
      <c r="E396" s="64"/>
      <c r="F396" s="57"/>
    </row>
    <row r="397" ht="31.5" customHeight="1">
      <c r="A397" s="57"/>
      <c r="B397" s="64"/>
      <c r="C397" s="64"/>
      <c r="D397" s="64"/>
      <c r="E397" s="64"/>
      <c r="F397" s="57"/>
    </row>
    <row r="398" ht="31.5" customHeight="1">
      <c r="A398" s="57"/>
      <c r="B398" s="64"/>
      <c r="C398" s="64"/>
      <c r="D398" s="64"/>
      <c r="E398" s="64"/>
      <c r="F398" s="57"/>
    </row>
    <row r="399" ht="31.5" customHeight="1">
      <c r="A399" s="57"/>
      <c r="B399" s="64"/>
      <c r="C399" s="64"/>
      <c r="D399" s="64"/>
      <c r="E399" s="64"/>
      <c r="F399" s="57"/>
    </row>
    <row r="400" ht="31.5" customHeight="1">
      <c r="A400" s="57"/>
      <c r="B400" s="64"/>
      <c r="C400" s="64"/>
      <c r="D400" s="64"/>
      <c r="E400" s="64"/>
      <c r="F400" s="57"/>
    </row>
    <row r="401" ht="31.5" customHeight="1">
      <c r="A401" s="57"/>
      <c r="B401" s="64"/>
      <c r="C401" s="64"/>
      <c r="D401" s="64"/>
      <c r="E401" s="64"/>
      <c r="F401" s="57"/>
    </row>
    <row r="402" ht="31.5" customHeight="1">
      <c r="A402" s="57"/>
      <c r="B402" s="64"/>
      <c r="C402" s="64"/>
      <c r="D402" s="64"/>
      <c r="E402" s="64"/>
      <c r="F402" s="57"/>
    </row>
    <row r="403" ht="31.5" customHeight="1">
      <c r="A403" s="57"/>
      <c r="B403" s="64"/>
      <c r="C403" s="64"/>
      <c r="D403" s="64"/>
      <c r="E403" s="64"/>
      <c r="F403" s="57"/>
    </row>
    <row r="404" ht="31.5" customHeight="1">
      <c r="A404" s="65" t="s">
        <v>40</v>
      </c>
    </row>
    <row r="405" ht="15.75" customHeight="1">
      <c r="A405" s="57"/>
      <c r="B405" s="57"/>
      <c r="C405" s="57"/>
      <c r="D405" s="57"/>
      <c r="E405" s="57"/>
      <c r="F405" s="57"/>
    </row>
    <row r="406" ht="31.5" customHeight="1">
      <c r="A406" s="57"/>
      <c r="B406" s="58" t="s">
        <v>5</v>
      </c>
      <c r="D406" s="58" t="s">
        <v>6</v>
      </c>
      <c r="F406" s="57"/>
    </row>
    <row r="407" ht="15.75" customHeight="1">
      <c r="A407" s="57"/>
      <c r="B407" s="59" t="s">
        <v>8</v>
      </c>
      <c r="C407" s="60" t="str">
        <f>'Getting Started'!$G$10</f>
        <v/>
      </c>
      <c r="D407" s="59" t="s">
        <v>9</v>
      </c>
      <c r="E407" s="60" t="str">
        <f>'Getting Started'!$I$10</f>
        <v/>
      </c>
      <c r="F407" s="57"/>
    </row>
    <row r="408" ht="15.75" customHeight="1">
      <c r="A408" s="57"/>
      <c r="B408" s="59" t="s">
        <v>11</v>
      </c>
      <c r="C408" s="61" t="str">
        <f>'Getting Started'!$G$11</f>
        <v/>
      </c>
      <c r="D408" s="59" t="s">
        <v>12</v>
      </c>
      <c r="E408" s="60" t="str">
        <f>'Getting Started'!$I$11</f>
        <v/>
      </c>
      <c r="F408" s="57"/>
    </row>
    <row r="409" ht="31.5" customHeight="1">
      <c r="A409" s="57"/>
      <c r="B409" s="59" t="s">
        <v>13</v>
      </c>
      <c r="C409" s="60" t="str">
        <f>'Getting Started'!$G$12</f>
        <v/>
      </c>
      <c r="D409" s="59" t="s">
        <v>14</v>
      </c>
      <c r="E409" s="60" t="str">
        <f>'Getting Started'!$I$12</f>
        <v/>
      </c>
      <c r="F409" s="57"/>
    </row>
    <row r="410" ht="31.5" customHeight="1">
      <c r="A410" s="57"/>
      <c r="B410" s="59" t="s">
        <v>15</v>
      </c>
      <c r="C410" s="62" t="str">
        <f>'Getting Started'!$G$14</f>
        <v/>
      </c>
      <c r="D410" s="59" t="s">
        <v>16</v>
      </c>
      <c r="E410" s="60" t="str">
        <f>'Getting Started'!$I$14</f>
        <v/>
      </c>
      <c r="F410" s="57"/>
    </row>
    <row r="411" ht="31.5" customHeight="1">
      <c r="A411" s="57"/>
      <c r="B411" s="63" t="s">
        <v>22</v>
      </c>
      <c r="C411" s="63" t="s">
        <v>23</v>
      </c>
      <c r="D411" s="63" t="s">
        <v>24</v>
      </c>
      <c r="E411" s="63" t="s">
        <v>25</v>
      </c>
      <c r="F411" s="57"/>
    </row>
    <row r="412" ht="31.5" customHeight="1">
      <c r="A412" s="57"/>
      <c r="B412" s="64"/>
      <c r="C412" s="64"/>
      <c r="D412" s="64"/>
      <c r="E412" s="64"/>
      <c r="F412" s="57"/>
    </row>
    <row r="413" ht="31.5" customHeight="1">
      <c r="A413" s="57"/>
      <c r="B413" s="64"/>
      <c r="C413" s="64"/>
      <c r="D413" s="64"/>
      <c r="E413" s="64"/>
      <c r="F413" s="57"/>
    </row>
    <row r="414" ht="31.5" customHeight="1">
      <c r="A414" s="57"/>
      <c r="B414" s="64"/>
      <c r="C414" s="64"/>
      <c r="D414" s="64"/>
      <c r="E414" s="64"/>
      <c r="F414" s="57"/>
    </row>
    <row r="415" ht="31.5" customHeight="1">
      <c r="A415" s="57"/>
      <c r="B415" s="64"/>
      <c r="C415" s="64"/>
      <c r="D415" s="64"/>
      <c r="E415" s="64"/>
      <c r="F415" s="57"/>
    </row>
    <row r="416" ht="31.5" customHeight="1">
      <c r="A416" s="57"/>
      <c r="B416" s="64"/>
      <c r="C416" s="64"/>
      <c r="D416" s="64"/>
      <c r="E416" s="64"/>
      <c r="F416" s="57"/>
    </row>
    <row r="417" ht="31.5" customHeight="1">
      <c r="A417" s="57"/>
      <c r="B417" s="64"/>
      <c r="C417" s="64"/>
      <c r="D417" s="64"/>
      <c r="E417" s="64"/>
      <c r="F417" s="57"/>
    </row>
    <row r="418" ht="31.5" customHeight="1">
      <c r="A418" s="57"/>
      <c r="B418" s="64"/>
      <c r="C418" s="64"/>
      <c r="D418" s="64"/>
      <c r="E418" s="64"/>
      <c r="F418" s="57"/>
    </row>
    <row r="419" ht="31.5" customHeight="1">
      <c r="A419" s="57"/>
      <c r="B419" s="64"/>
      <c r="C419" s="64"/>
      <c r="D419" s="64"/>
      <c r="E419" s="64"/>
      <c r="F419" s="57"/>
    </row>
    <row r="420" ht="31.5" customHeight="1">
      <c r="A420" s="57"/>
      <c r="B420" s="64"/>
      <c r="C420" s="64"/>
      <c r="D420" s="64"/>
      <c r="E420" s="64"/>
      <c r="F420" s="57"/>
    </row>
    <row r="421" ht="31.5" customHeight="1">
      <c r="A421" s="57"/>
      <c r="B421" s="64"/>
      <c r="C421" s="64"/>
      <c r="D421" s="64"/>
      <c r="E421" s="64"/>
      <c r="F421" s="57"/>
    </row>
    <row r="422" ht="31.5" customHeight="1">
      <c r="A422" s="57"/>
      <c r="B422" s="64"/>
      <c r="C422" s="64"/>
      <c r="D422" s="64"/>
      <c r="E422" s="64"/>
      <c r="F422" s="57"/>
    </row>
    <row r="423" ht="31.5" customHeight="1">
      <c r="A423" s="57"/>
      <c r="B423" s="64"/>
      <c r="C423" s="64"/>
      <c r="D423" s="64"/>
      <c r="E423" s="64"/>
      <c r="F423" s="57"/>
    </row>
    <row r="424" ht="31.5" customHeight="1">
      <c r="A424" s="57"/>
      <c r="B424" s="64"/>
      <c r="C424" s="64"/>
      <c r="D424" s="64"/>
      <c r="E424" s="64"/>
      <c r="F424" s="57"/>
    </row>
    <row r="425" ht="31.5" customHeight="1">
      <c r="A425" s="57"/>
      <c r="B425" s="64"/>
      <c r="C425" s="64"/>
      <c r="D425" s="64"/>
      <c r="E425" s="64"/>
      <c r="F425" s="57"/>
    </row>
    <row r="426" ht="31.5" customHeight="1">
      <c r="A426" s="57"/>
      <c r="B426" s="64"/>
      <c r="C426" s="64"/>
      <c r="D426" s="64"/>
      <c r="E426" s="64"/>
      <c r="F426" s="57"/>
    </row>
    <row r="427" ht="31.5" customHeight="1">
      <c r="A427" s="57"/>
      <c r="B427" s="64"/>
      <c r="C427" s="64"/>
      <c r="D427" s="64"/>
      <c r="E427" s="64"/>
      <c r="F427" s="57"/>
    </row>
    <row r="428" ht="31.5" customHeight="1">
      <c r="A428" s="57"/>
      <c r="B428" s="64"/>
      <c r="C428" s="64"/>
      <c r="D428" s="64"/>
      <c r="E428" s="64"/>
      <c r="F428" s="57"/>
    </row>
    <row r="429" ht="31.5" customHeight="1">
      <c r="A429" s="57"/>
      <c r="B429" s="64"/>
      <c r="C429" s="64"/>
      <c r="D429" s="64"/>
      <c r="E429" s="64"/>
      <c r="F429" s="57"/>
    </row>
    <row r="430" ht="31.5" customHeight="1">
      <c r="A430" s="57"/>
      <c r="B430" s="64"/>
      <c r="C430" s="64"/>
      <c r="D430" s="64"/>
      <c r="E430" s="64"/>
      <c r="F430" s="57"/>
    </row>
    <row r="431" ht="31.5" customHeight="1">
      <c r="A431" s="65" t="s">
        <v>41</v>
      </c>
    </row>
    <row r="432" ht="15.75" customHeight="1">
      <c r="A432" s="57"/>
      <c r="B432" s="57"/>
      <c r="C432" s="57"/>
      <c r="D432" s="57"/>
      <c r="E432" s="57"/>
      <c r="F432" s="57"/>
    </row>
    <row r="433" ht="31.5" customHeight="1">
      <c r="A433" s="57"/>
      <c r="B433" s="58" t="s">
        <v>5</v>
      </c>
      <c r="D433" s="58" t="s">
        <v>6</v>
      </c>
      <c r="F433" s="57"/>
    </row>
    <row r="434" ht="15.75" customHeight="1">
      <c r="A434" s="57"/>
      <c r="B434" s="59" t="s">
        <v>8</v>
      </c>
      <c r="C434" s="60" t="str">
        <f>'Getting Started'!$G$10</f>
        <v/>
      </c>
      <c r="D434" s="59" t="s">
        <v>9</v>
      </c>
      <c r="E434" s="60" t="str">
        <f>'Getting Started'!$I$10</f>
        <v/>
      </c>
      <c r="F434" s="57"/>
    </row>
    <row r="435" ht="15.75" customHeight="1">
      <c r="A435" s="57"/>
      <c r="B435" s="59" t="s">
        <v>11</v>
      </c>
      <c r="C435" s="61" t="str">
        <f>'Getting Started'!$G$11</f>
        <v/>
      </c>
      <c r="D435" s="59" t="s">
        <v>12</v>
      </c>
      <c r="E435" s="60" t="str">
        <f>'Getting Started'!$I$11</f>
        <v/>
      </c>
      <c r="F435" s="57"/>
    </row>
    <row r="436" ht="31.5" customHeight="1">
      <c r="A436" s="57"/>
      <c r="B436" s="59" t="s">
        <v>13</v>
      </c>
      <c r="C436" s="60" t="str">
        <f>'Getting Started'!$G$12</f>
        <v/>
      </c>
      <c r="D436" s="59" t="s">
        <v>14</v>
      </c>
      <c r="E436" s="60" t="str">
        <f>'Getting Started'!$I$12</f>
        <v/>
      </c>
      <c r="F436" s="57"/>
    </row>
    <row r="437" ht="31.5" customHeight="1">
      <c r="A437" s="57"/>
      <c r="B437" s="59" t="s">
        <v>15</v>
      </c>
      <c r="C437" s="62" t="str">
        <f>'Getting Started'!$G$14</f>
        <v/>
      </c>
      <c r="D437" s="59" t="s">
        <v>16</v>
      </c>
      <c r="E437" s="60" t="str">
        <f>'Getting Started'!$I$14</f>
        <v/>
      </c>
      <c r="F437" s="57"/>
    </row>
    <row r="438" ht="31.5" customHeight="1">
      <c r="A438" s="57"/>
      <c r="B438" s="63" t="s">
        <v>22</v>
      </c>
      <c r="C438" s="63" t="s">
        <v>23</v>
      </c>
      <c r="D438" s="63" t="s">
        <v>24</v>
      </c>
      <c r="E438" s="63" t="s">
        <v>25</v>
      </c>
      <c r="F438" s="57"/>
    </row>
    <row r="439" ht="31.5" customHeight="1">
      <c r="A439" s="57"/>
      <c r="B439" s="64"/>
      <c r="C439" s="64"/>
      <c r="D439" s="64"/>
      <c r="E439" s="64"/>
      <c r="F439" s="57"/>
    </row>
    <row r="440" ht="31.5" customHeight="1">
      <c r="A440" s="57"/>
      <c r="B440" s="64"/>
      <c r="C440" s="64"/>
      <c r="D440" s="64"/>
      <c r="E440" s="64"/>
      <c r="F440" s="57"/>
    </row>
    <row r="441" ht="31.5" customHeight="1">
      <c r="A441" s="57"/>
      <c r="B441" s="64"/>
      <c r="C441" s="64"/>
      <c r="D441" s="64"/>
      <c r="E441" s="64"/>
      <c r="F441" s="57"/>
    </row>
    <row r="442" ht="31.5" customHeight="1">
      <c r="A442" s="57"/>
      <c r="B442" s="64"/>
      <c r="C442" s="64"/>
      <c r="D442" s="64"/>
      <c r="E442" s="64"/>
      <c r="F442" s="57"/>
    </row>
    <row r="443" ht="31.5" customHeight="1">
      <c r="A443" s="57"/>
      <c r="B443" s="64"/>
      <c r="C443" s="64"/>
      <c r="D443" s="64"/>
      <c r="E443" s="64"/>
      <c r="F443" s="57"/>
    </row>
    <row r="444" ht="31.5" customHeight="1">
      <c r="A444" s="57"/>
      <c r="B444" s="64"/>
      <c r="C444" s="64"/>
      <c r="D444" s="64"/>
      <c r="E444" s="64"/>
      <c r="F444" s="57"/>
    </row>
    <row r="445" ht="31.5" customHeight="1">
      <c r="A445" s="57"/>
      <c r="B445" s="64"/>
      <c r="C445" s="64"/>
      <c r="D445" s="64"/>
      <c r="E445" s="64"/>
      <c r="F445" s="57"/>
    </row>
    <row r="446" ht="31.5" customHeight="1">
      <c r="A446" s="57"/>
      <c r="B446" s="64"/>
      <c r="C446" s="64"/>
      <c r="D446" s="64"/>
      <c r="E446" s="64"/>
      <c r="F446" s="57"/>
    </row>
    <row r="447" ht="31.5" customHeight="1">
      <c r="A447" s="57"/>
      <c r="B447" s="64"/>
      <c r="C447" s="64"/>
      <c r="D447" s="64"/>
      <c r="E447" s="64"/>
      <c r="F447" s="57"/>
    </row>
    <row r="448" ht="31.5" customHeight="1">
      <c r="A448" s="57"/>
      <c r="B448" s="64"/>
      <c r="C448" s="64"/>
      <c r="D448" s="64"/>
      <c r="E448" s="64"/>
      <c r="F448" s="57"/>
    </row>
    <row r="449" ht="31.5" customHeight="1">
      <c r="A449" s="57"/>
      <c r="B449" s="64"/>
      <c r="C449" s="64"/>
      <c r="D449" s="64"/>
      <c r="E449" s="64"/>
      <c r="F449" s="57"/>
    </row>
    <row r="450" ht="31.5" customHeight="1">
      <c r="A450" s="57"/>
      <c r="B450" s="64"/>
      <c r="C450" s="64"/>
      <c r="D450" s="64"/>
      <c r="E450" s="64"/>
      <c r="F450" s="57"/>
    </row>
    <row r="451" ht="31.5" customHeight="1">
      <c r="A451" s="57"/>
      <c r="B451" s="64"/>
      <c r="C451" s="64"/>
      <c r="D451" s="64"/>
      <c r="E451" s="64"/>
      <c r="F451" s="57"/>
    </row>
    <row r="452" ht="31.5" customHeight="1">
      <c r="A452" s="57"/>
      <c r="B452" s="64"/>
      <c r="C452" s="64"/>
      <c r="D452" s="64"/>
      <c r="E452" s="64"/>
      <c r="F452" s="57"/>
    </row>
    <row r="453" ht="31.5" customHeight="1">
      <c r="A453" s="57"/>
      <c r="B453" s="64"/>
      <c r="C453" s="64"/>
      <c r="D453" s="64"/>
      <c r="E453" s="64"/>
      <c r="F453" s="57"/>
    </row>
    <row r="454" ht="31.5" customHeight="1">
      <c r="A454" s="57"/>
      <c r="B454" s="64"/>
      <c r="C454" s="64"/>
      <c r="D454" s="64"/>
      <c r="E454" s="64"/>
      <c r="F454" s="57"/>
    </row>
    <row r="455" ht="31.5" customHeight="1">
      <c r="A455" s="57"/>
      <c r="B455" s="64"/>
      <c r="C455" s="64"/>
      <c r="D455" s="64"/>
      <c r="E455" s="64"/>
      <c r="F455" s="57"/>
    </row>
    <row r="456" ht="31.5" customHeight="1">
      <c r="A456" s="57"/>
      <c r="B456" s="64"/>
      <c r="C456" s="64"/>
      <c r="D456" s="64"/>
      <c r="E456" s="64"/>
      <c r="F456" s="57"/>
    </row>
    <row r="457" ht="31.5" customHeight="1">
      <c r="A457" s="57"/>
      <c r="B457" s="64"/>
      <c r="C457" s="64"/>
      <c r="D457" s="64"/>
      <c r="E457" s="64"/>
      <c r="F457" s="57"/>
    </row>
    <row r="458" ht="31.5" customHeight="1">
      <c r="A458" s="65" t="s">
        <v>42</v>
      </c>
    </row>
    <row r="459" ht="15.75" customHeight="1">
      <c r="A459" s="57"/>
      <c r="B459" s="57"/>
      <c r="C459" s="57"/>
      <c r="D459" s="57"/>
      <c r="E459" s="57"/>
      <c r="F459" s="57"/>
    </row>
    <row r="460" ht="31.5" customHeight="1">
      <c r="A460" s="57"/>
      <c r="B460" s="58" t="s">
        <v>5</v>
      </c>
      <c r="D460" s="58" t="s">
        <v>6</v>
      </c>
      <c r="F460" s="57"/>
    </row>
    <row r="461" ht="15.75" customHeight="1">
      <c r="A461" s="57"/>
      <c r="B461" s="59" t="s">
        <v>8</v>
      </c>
      <c r="C461" s="60" t="str">
        <f>'Getting Started'!$G$10</f>
        <v/>
      </c>
      <c r="D461" s="59" t="s">
        <v>9</v>
      </c>
      <c r="E461" s="60" t="str">
        <f>'Getting Started'!$I$10</f>
        <v/>
      </c>
      <c r="F461" s="57"/>
    </row>
    <row r="462" ht="15.75" customHeight="1">
      <c r="A462" s="57"/>
      <c r="B462" s="59" t="s">
        <v>11</v>
      </c>
      <c r="C462" s="61" t="str">
        <f>'Getting Started'!$G$11</f>
        <v/>
      </c>
      <c r="D462" s="59" t="s">
        <v>12</v>
      </c>
      <c r="E462" s="60" t="str">
        <f>'Getting Started'!$I$11</f>
        <v/>
      </c>
      <c r="F462" s="57"/>
    </row>
    <row r="463" ht="31.5" customHeight="1">
      <c r="A463" s="57"/>
      <c r="B463" s="59" t="s">
        <v>13</v>
      </c>
      <c r="C463" s="60" t="str">
        <f>'Getting Started'!$G$12</f>
        <v/>
      </c>
      <c r="D463" s="59" t="s">
        <v>14</v>
      </c>
      <c r="E463" s="60" t="str">
        <f>'Getting Started'!$I$12</f>
        <v/>
      </c>
      <c r="F463" s="57"/>
    </row>
    <row r="464" ht="31.5" customHeight="1">
      <c r="A464" s="57"/>
      <c r="B464" s="59" t="s">
        <v>15</v>
      </c>
      <c r="C464" s="62" t="str">
        <f>'Getting Started'!$G$14</f>
        <v/>
      </c>
      <c r="D464" s="59" t="s">
        <v>16</v>
      </c>
      <c r="E464" s="60" t="str">
        <f>'Getting Started'!$I$14</f>
        <v/>
      </c>
      <c r="F464" s="57"/>
    </row>
    <row r="465" ht="31.5" customHeight="1">
      <c r="A465" s="57"/>
      <c r="B465" s="63" t="s">
        <v>22</v>
      </c>
      <c r="C465" s="63" t="s">
        <v>23</v>
      </c>
      <c r="D465" s="63" t="s">
        <v>24</v>
      </c>
      <c r="E465" s="63" t="s">
        <v>25</v>
      </c>
      <c r="F465" s="57"/>
    </row>
    <row r="466" ht="31.5" customHeight="1">
      <c r="A466" s="57"/>
      <c r="B466" s="64"/>
      <c r="C466" s="64"/>
      <c r="D466" s="64"/>
      <c r="E466" s="64"/>
      <c r="F466" s="57"/>
    </row>
    <row r="467" ht="31.5" customHeight="1">
      <c r="A467" s="57"/>
      <c r="B467" s="64"/>
      <c r="C467" s="64"/>
      <c r="D467" s="64"/>
      <c r="E467" s="64"/>
      <c r="F467" s="57"/>
    </row>
    <row r="468" ht="31.5" customHeight="1">
      <c r="A468" s="57"/>
      <c r="B468" s="64"/>
      <c r="C468" s="64"/>
      <c r="D468" s="64"/>
      <c r="E468" s="64"/>
      <c r="F468" s="57"/>
    </row>
    <row r="469" ht="31.5" customHeight="1">
      <c r="A469" s="57"/>
      <c r="B469" s="64"/>
      <c r="C469" s="64"/>
      <c r="D469" s="64"/>
      <c r="E469" s="64"/>
      <c r="F469" s="57"/>
    </row>
    <row r="470" ht="31.5" customHeight="1">
      <c r="A470" s="57"/>
      <c r="B470" s="64"/>
      <c r="C470" s="64"/>
      <c r="D470" s="64"/>
      <c r="E470" s="64"/>
      <c r="F470" s="57"/>
    </row>
    <row r="471" ht="31.5" customHeight="1">
      <c r="A471" s="57"/>
      <c r="B471" s="64"/>
      <c r="C471" s="64"/>
      <c r="D471" s="64"/>
      <c r="E471" s="64"/>
      <c r="F471" s="57"/>
    </row>
    <row r="472" ht="31.5" customHeight="1">
      <c r="A472" s="57"/>
      <c r="B472" s="64"/>
      <c r="C472" s="64"/>
      <c r="D472" s="64"/>
      <c r="E472" s="64"/>
      <c r="F472" s="57"/>
    </row>
    <row r="473" ht="31.5" customHeight="1">
      <c r="A473" s="57"/>
      <c r="B473" s="64"/>
      <c r="C473" s="64"/>
      <c r="D473" s="64"/>
      <c r="E473" s="64"/>
      <c r="F473" s="57"/>
    </row>
    <row r="474" ht="31.5" customHeight="1">
      <c r="A474" s="57"/>
      <c r="B474" s="64"/>
      <c r="C474" s="64"/>
      <c r="D474" s="64"/>
      <c r="E474" s="64"/>
      <c r="F474" s="57"/>
    </row>
    <row r="475" ht="31.5" customHeight="1">
      <c r="A475" s="57"/>
      <c r="B475" s="64"/>
      <c r="C475" s="64"/>
      <c r="D475" s="64"/>
      <c r="E475" s="64"/>
      <c r="F475" s="57"/>
    </row>
    <row r="476" ht="31.5" customHeight="1">
      <c r="A476" s="57"/>
      <c r="B476" s="64"/>
      <c r="C476" s="64"/>
      <c r="D476" s="64"/>
      <c r="E476" s="64"/>
      <c r="F476" s="57"/>
    </row>
    <row r="477" ht="31.5" customHeight="1">
      <c r="A477" s="57"/>
      <c r="B477" s="64"/>
      <c r="C477" s="64"/>
      <c r="D477" s="64"/>
      <c r="E477" s="64"/>
      <c r="F477" s="57"/>
    </row>
    <row r="478" ht="31.5" customHeight="1">
      <c r="A478" s="57"/>
      <c r="B478" s="64"/>
      <c r="C478" s="64"/>
      <c r="D478" s="64"/>
      <c r="E478" s="64"/>
      <c r="F478" s="57"/>
    </row>
    <row r="479" ht="31.5" customHeight="1">
      <c r="A479" s="57"/>
      <c r="B479" s="64"/>
      <c r="C479" s="64"/>
      <c r="D479" s="64"/>
      <c r="E479" s="64"/>
      <c r="F479" s="57"/>
    </row>
    <row r="480" ht="31.5" customHeight="1">
      <c r="A480" s="57"/>
      <c r="B480" s="64"/>
      <c r="C480" s="64"/>
      <c r="D480" s="64"/>
      <c r="E480" s="64"/>
      <c r="F480" s="57"/>
    </row>
    <row r="481" ht="31.5" customHeight="1">
      <c r="A481" s="57"/>
      <c r="B481" s="64"/>
      <c r="C481" s="64"/>
      <c r="D481" s="64"/>
      <c r="E481" s="64"/>
      <c r="F481" s="57"/>
    </row>
    <row r="482" ht="31.5" customHeight="1">
      <c r="A482" s="57"/>
      <c r="B482" s="64"/>
      <c r="C482" s="64"/>
      <c r="D482" s="64"/>
      <c r="E482" s="64"/>
      <c r="F482" s="57"/>
    </row>
    <row r="483" ht="31.5" customHeight="1">
      <c r="A483" s="57"/>
      <c r="B483" s="64"/>
      <c r="C483" s="64"/>
      <c r="D483" s="64"/>
      <c r="E483" s="64"/>
      <c r="F483" s="57"/>
    </row>
    <row r="484" ht="31.5" customHeight="1">
      <c r="A484" s="57"/>
      <c r="B484" s="64"/>
      <c r="C484" s="64"/>
      <c r="D484" s="64"/>
      <c r="E484" s="64"/>
      <c r="F484" s="57"/>
    </row>
    <row r="485" ht="31.5" customHeight="1">
      <c r="A485" s="65" t="s">
        <v>43</v>
      </c>
    </row>
    <row r="486" ht="15.75" customHeight="1">
      <c r="A486" s="57"/>
      <c r="B486" s="57"/>
      <c r="C486" s="57"/>
      <c r="D486" s="57"/>
      <c r="E486" s="57"/>
      <c r="F486" s="57"/>
    </row>
    <row r="487" ht="31.5" customHeight="1">
      <c r="A487" s="57"/>
      <c r="B487" s="58" t="s">
        <v>5</v>
      </c>
      <c r="D487" s="58" t="s">
        <v>6</v>
      </c>
      <c r="F487" s="57"/>
    </row>
    <row r="488" ht="15.75" customHeight="1">
      <c r="A488" s="57"/>
      <c r="B488" s="59" t="s">
        <v>8</v>
      </c>
      <c r="C488" s="60" t="str">
        <f>'Getting Started'!$G$10</f>
        <v/>
      </c>
      <c r="D488" s="59" t="s">
        <v>9</v>
      </c>
      <c r="E488" s="60" t="str">
        <f>'Getting Started'!$I$10</f>
        <v/>
      </c>
      <c r="F488" s="57"/>
    </row>
    <row r="489" ht="15.75" customHeight="1">
      <c r="A489" s="57"/>
      <c r="B489" s="59" t="s">
        <v>11</v>
      </c>
      <c r="C489" s="61" t="str">
        <f>'Getting Started'!$G$11</f>
        <v/>
      </c>
      <c r="D489" s="59" t="s">
        <v>12</v>
      </c>
      <c r="E489" s="60" t="str">
        <f>'Getting Started'!$I$11</f>
        <v/>
      </c>
      <c r="F489" s="57"/>
    </row>
    <row r="490" ht="31.5" customHeight="1">
      <c r="A490" s="57"/>
      <c r="B490" s="59" t="s">
        <v>13</v>
      </c>
      <c r="C490" s="60" t="str">
        <f>'Getting Started'!$G$12</f>
        <v/>
      </c>
      <c r="D490" s="59" t="s">
        <v>14</v>
      </c>
      <c r="E490" s="60" t="str">
        <f>'Getting Started'!$I$12</f>
        <v/>
      </c>
      <c r="F490" s="57"/>
    </row>
    <row r="491" ht="31.5" customHeight="1">
      <c r="A491" s="57"/>
      <c r="B491" s="59" t="s">
        <v>15</v>
      </c>
      <c r="C491" s="62" t="str">
        <f>'Getting Started'!$G$14</f>
        <v/>
      </c>
      <c r="D491" s="59" t="s">
        <v>16</v>
      </c>
      <c r="E491" s="60" t="str">
        <f>'Getting Started'!$I$14</f>
        <v/>
      </c>
      <c r="F491" s="57"/>
    </row>
    <row r="492" ht="31.5" customHeight="1">
      <c r="A492" s="57"/>
      <c r="B492" s="63" t="s">
        <v>22</v>
      </c>
      <c r="C492" s="63" t="s">
        <v>23</v>
      </c>
      <c r="D492" s="63" t="s">
        <v>24</v>
      </c>
      <c r="E492" s="63" t="s">
        <v>25</v>
      </c>
      <c r="F492" s="57"/>
    </row>
    <row r="493" ht="31.5" customHeight="1">
      <c r="A493" s="57"/>
      <c r="B493" s="64"/>
      <c r="C493" s="64"/>
      <c r="D493" s="64"/>
      <c r="E493" s="64"/>
      <c r="F493" s="57"/>
    </row>
    <row r="494" ht="31.5" customHeight="1">
      <c r="A494" s="57"/>
      <c r="B494" s="64"/>
      <c r="C494" s="64"/>
      <c r="D494" s="64"/>
      <c r="E494" s="64"/>
      <c r="F494" s="57"/>
    </row>
    <row r="495" ht="31.5" customHeight="1">
      <c r="A495" s="57"/>
      <c r="B495" s="64"/>
      <c r="C495" s="64"/>
      <c r="D495" s="64"/>
      <c r="E495" s="64"/>
      <c r="F495" s="57"/>
    </row>
    <row r="496" ht="31.5" customHeight="1">
      <c r="A496" s="57"/>
      <c r="B496" s="64"/>
      <c r="C496" s="64"/>
      <c r="D496" s="64"/>
      <c r="E496" s="64"/>
      <c r="F496" s="57"/>
    </row>
    <row r="497" ht="31.5" customHeight="1">
      <c r="A497" s="57"/>
      <c r="B497" s="64"/>
      <c r="C497" s="64"/>
      <c r="D497" s="64"/>
      <c r="E497" s="64"/>
      <c r="F497" s="57"/>
    </row>
    <row r="498" ht="31.5" customHeight="1">
      <c r="A498" s="57"/>
      <c r="B498" s="64"/>
      <c r="C498" s="64"/>
      <c r="D498" s="64"/>
      <c r="E498" s="64"/>
      <c r="F498" s="57"/>
    </row>
    <row r="499" ht="31.5" customHeight="1">
      <c r="A499" s="57"/>
      <c r="B499" s="64"/>
      <c r="C499" s="64"/>
      <c r="D499" s="64"/>
      <c r="E499" s="64"/>
      <c r="F499" s="57"/>
    </row>
    <row r="500" ht="31.5" customHeight="1">
      <c r="A500" s="57"/>
      <c r="B500" s="64"/>
      <c r="C500" s="64"/>
      <c r="D500" s="64"/>
      <c r="E500" s="64"/>
      <c r="F500" s="57"/>
    </row>
    <row r="501" ht="31.5" customHeight="1">
      <c r="A501" s="57"/>
      <c r="B501" s="64"/>
      <c r="C501" s="64"/>
      <c r="D501" s="64"/>
      <c r="E501" s="64"/>
      <c r="F501" s="57"/>
    </row>
    <row r="502" ht="31.5" customHeight="1">
      <c r="A502" s="57"/>
      <c r="B502" s="64"/>
      <c r="C502" s="64"/>
      <c r="D502" s="64"/>
      <c r="E502" s="64"/>
      <c r="F502" s="57"/>
    </row>
    <row r="503" ht="31.5" customHeight="1">
      <c r="A503" s="57"/>
      <c r="B503" s="64"/>
      <c r="C503" s="64"/>
      <c r="D503" s="64"/>
      <c r="E503" s="64"/>
      <c r="F503" s="57"/>
    </row>
    <row r="504" ht="31.5" customHeight="1">
      <c r="A504" s="57"/>
      <c r="B504" s="64"/>
      <c r="C504" s="64"/>
      <c r="D504" s="64"/>
      <c r="E504" s="64"/>
      <c r="F504" s="57"/>
    </row>
    <row r="505" ht="31.5" customHeight="1">
      <c r="A505" s="57"/>
      <c r="B505" s="64"/>
      <c r="C505" s="64"/>
      <c r="D505" s="64"/>
      <c r="E505" s="64"/>
      <c r="F505" s="57"/>
    </row>
    <row r="506" ht="31.5" customHeight="1">
      <c r="A506" s="57"/>
      <c r="B506" s="64"/>
      <c r="C506" s="64"/>
      <c r="D506" s="64"/>
      <c r="E506" s="64"/>
      <c r="F506" s="57"/>
    </row>
    <row r="507" ht="31.5" customHeight="1">
      <c r="A507" s="57"/>
      <c r="B507" s="64"/>
      <c r="C507" s="64"/>
      <c r="D507" s="64"/>
      <c r="E507" s="64"/>
      <c r="F507" s="57"/>
    </row>
    <row r="508" ht="31.5" customHeight="1">
      <c r="A508" s="57"/>
      <c r="B508" s="64"/>
      <c r="C508" s="64"/>
      <c r="D508" s="64"/>
      <c r="E508" s="64"/>
      <c r="F508" s="57"/>
    </row>
    <row r="509" ht="31.5" customHeight="1">
      <c r="A509" s="57"/>
      <c r="B509" s="64"/>
      <c r="C509" s="64"/>
      <c r="D509" s="64"/>
      <c r="E509" s="64"/>
      <c r="F509" s="57"/>
    </row>
    <row r="510" ht="31.5" customHeight="1">
      <c r="A510" s="57"/>
      <c r="B510" s="64"/>
      <c r="C510" s="64"/>
      <c r="D510" s="64"/>
      <c r="E510" s="64"/>
      <c r="F510" s="57"/>
    </row>
    <row r="511" ht="31.5" customHeight="1">
      <c r="A511" s="57"/>
      <c r="B511" s="64"/>
      <c r="C511" s="64"/>
      <c r="D511" s="64"/>
      <c r="E511" s="64"/>
      <c r="F511" s="57"/>
    </row>
    <row r="512" ht="31.5" customHeight="1">
      <c r="A512" s="65" t="s">
        <v>44</v>
      </c>
    </row>
    <row r="513" ht="15.75" customHeight="1">
      <c r="A513" s="57"/>
      <c r="B513" s="57"/>
      <c r="C513" s="57"/>
      <c r="D513" s="57"/>
      <c r="E513" s="57"/>
      <c r="F513" s="57"/>
    </row>
    <row r="514" ht="31.5" customHeight="1">
      <c r="A514" s="57"/>
      <c r="B514" s="58" t="s">
        <v>5</v>
      </c>
      <c r="D514" s="58" t="s">
        <v>6</v>
      </c>
      <c r="F514" s="57"/>
    </row>
    <row r="515" ht="15.75" customHeight="1">
      <c r="A515" s="57"/>
      <c r="B515" s="59" t="s">
        <v>8</v>
      </c>
      <c r="C515" s="60" t="str">
        <f>'Getting Started'!$G$10</f>
        <v/>
      </c>
      <c r="D515" s="59" t="s">
        <v>9</v>
      </c>
      <c r="E515" s="60" t="str">
        <f>'Getting Started'!$I$10</f>
        <v/>
      </c>
      <c r="F515" s="57"/>
    </row>
    <row r="516" ht="15.75" customHeight="1">
      <c r="A516" s="57"/>
      <c r="B516" s="59" t="s">
        <v>11</v>
      </c>
      <c r="C516" s="61" t="str">
        <f>'Getting Started'!$G$11</f>
        <v/>
      </c>
      <c r="D516" s="59" t="s">
        <v>12</v>
      </c>
      <c r="E516" s="60" t="str">
        <f>'Getting Started'!$I$11</f>
        <v/>
      </c>
      <c r="F516" s="57"/>
    </row>
    <row r="517" ht="31.5" customHeight="1">
      <c r="A517" s="57"/>
      <c r="B517" s="59" t="s">
        <v>13</v>
      </c>
      <c r="C517" s="60" t="str">
        <f>'Getting Started'!$G$12</f>
        <v/>
      </c>
      <c r="D517" s="59" t="s">
        <v>14</v>
      </c>
      <c r="E517" s="60" t="str">
        <f>'Getting Started'!$I$12</f>
        <v/>
      </c>
      <c r="F517" s="57"/>
    </row>
    <row r="518" ht="31.5" customHeight="1">
      <c r="A518" s="57"/>
      <c r="B518" s="59" t="s">
        <v>15</v>
      </c>
      <c r="C518" s="62" t="str">
        <f>'Getting Started'!$G$14</f>
        <v/>
      </c>
      <c r="D518" s="59" t="s">
        <v>16</v>
      </c>
      <c r="E518" s="60" t="str">
        <f>'Getting Started'!$I$14</f>
        <v/>
      </c>
      <c r="F518" s="57"/>
    </row>
    <row r="519" ht="31.5" customHeight="1">
      <c r="A519" s="57"/>
      <c r="B519" s="63" t="s">
        <v>22</v>
      </c>
      <c r="C519" s="63" t="s">
        <v>23</v>
      </c>
      <c r="D519" s="63" t="s">
        <v>24</v>
      </c>
      <c r="E519" s="63" t="s">
        <v>25</v>
      </c>
      <c r="F519" s="57"/>
    </row>
    <row r="520" ht="31.5" customHeight="1">
      <c r="A520" s="57"/>
      <c r="B520" s="64"/>
      <c r="C520" s="64"/>
      <c r="D520" s="64"/>
      <c r="E520" s="64"/>
      <c r="F520" s="57"/>
    </row>
    <row r="521" ht="31.5" customHeight="1">
      <c r="A521" s="57"/>
      <c r="B521" s="64"/>
      <c r="C521" s="64"/>
      <c r="D521" s="64"/>
      <c r="E521" s="64"/>
      <c r="F521" s="57"/>
    </row>
    <row r="522" ht="31.5" customHeight="1">
      <c r="A522" s="57"/>
      <c r="B522" s="64"/>
      <c r="C522" s="64"/>
      <c r="D522" s="64"/>
      <c r="E522" s="64"/>
      <c r="F522" s="57"/>
    </row>
    <row r="523" ht="31.5" customHeight="1">
      <c r="A523" s="57"/>
      <c r="B523" s="64"/>
      <c r="C523" s="64"/>
      <c r="D523" s="64"/>
      <c r="E523" s="64"/>
      <c r="F523" s="57"/>
    </row>
    <row r="524" ht="31.5" customHeight="1">
      <c r="A524" s="57"/>
      <c r="B524" s="64"/>
      <c r="C524" s="64"/>
      <c r="D524" s="64"/>
      <c r="E524" s="64"/>
      <c r="F524" s="57"/>
    </row>
    <row r="525" ht="31.5" customHeight="1">
      <c r="A525" s="57"/>
      <c r="B525" s="64"/>
      <c r="C525" s="64"/>
      <c r="D525" s="64"/>
      <c r="E525" s="64"/>
      <c r="F525" s="57"/>
    </row>
    <row r="526" ht="31.5" customHeight="1">
      <c r="A526" s="57"/>
      <c r="B526" s="64"/>
      <c r="C526" s="64"/>
      <c r="D526" s="64"/>
      <c r="E526" s="64"/>
      <c r="F526" s="57"/>
    </row>
    <row r="527" ht="31.5" customHeight="1">
      <c r="A527" s="57"/>
      <c r="B527" s="64"/>
      <c r="C527" s="64"/>
      <c r="D527" s="64"/>
      <c r="E527" s="64"/>
      <c r="F527" s="57"/>
    </row>
    <row r="528" ht="31.5" customHeight="1">
      <c r="A528" s="57"/>
      <c r="B528" s="64"/>
      <c r="C528" s="64"/>
      <c r="D528" s="64"/>
      <c r="E528" s="64"/>
      <c r="F528" s="57"/>
    </row>
    <row r="529" ht="31.5" customHeight="1">
      <c r="A529" s="57"/>
      <c r="B529" s="64"/>
      <c r="C529" s="64"/>
      <c r="D529" s="64"/>
      <c r="E529" s="64"/>
      <c r="F529" s="57"/>
    </row>
    <row r="530" ht="31.5" customHeight="1">
      <c r="A530" s="57"/>
      <c r="B530" s="64"/>
      <c r="C530" s="64"/>
      <c r="D530" s="64"/>
      <c r="E530" s="64"/>
      <c r="F530" s="57"/>
    </row>
    <row r="531" ht="31.5" customHeight="1">
      <c r="A531" s="57"/>
      <c r="B531" s="64"/>
      <c r="C531" s="64"/>
      <c r="D531" s="64"/>
      <c r="E531" s="64"/>
      <c r="F531" s="57"/>
    </row>
    <row r="532" ht="31.5" customHeight="1">
      <c r="A532" s="57"/>
      <c r="B532" s="64"/>
      <c r="C532" s="64"/>
      <c r="D532" s="64"/>
      <c r="E532" s="64"/>
      <c r="F532" s="57"/>
    </row>
    <row r="533" ht="31.5" customHeight="1">
      <c r="A533" s="57"/>
      <c r="B533" s="64"/>
      <c r="C533" s="64"/>
      <c r="D533" s="64"/>
      <c r="E533" s="64"/>
      <c r="F533" s="57"/>
    </row>
    <row r="534" ht="31.5" customHeight="1">
      <c r="A534" s="57"/>
      <c r="B534" s="64"/>
      <c r="C534" s="64"/>
      <c r="D534" s="64"/>
      <c r="E534" s="64"/>
      <c r="F534" s="57"/>
    </row>
    <row r="535" ht="31.5" customHeight="1">
      <c r="A535" s="57"/>
      <c r="B535" s="64"/>
      <c r="C535" s="64"/>
      <c r="D535" s="64"/>
      <c r="E535" s="64"/>
      <c r="F535" s="57"/>
    </row>
    <row r="536" ht="31.5" customHeight="1">
      <c r="A536" s="57"/>
      <c r="B536" s="64"/>
      <c r="C536" s="64"/>
      <c r="D536" s="64"/>
      <c r="E536" s="64"/>
      <c r="F536" s="57"/>
    </row>
    <row r="537" ht="31.5" customHeight="1">
      <c r="A537" s="57"/>
      <c r="B537" s="64"/>
      <c r="C537" s="64"/>
      <c r="D537" s="64"/>
      <c r="E537" s="64"/>
      <c r="F537" s="57"/>
    </row>
    <row r="538" ht="31.5" customHeight="1">
      <c r="A538" s="57"/>
      <c r="B538" s="64"/>
      <c r="C538" s="64"/>
      <c r="D538" s="64"/>
      <c r="E538" s="64"/>
      <c r="F538" s="57"/>
    </row>
    <row r="539" ht="31.5" customHeight="1">
      <c r="A539" s="65" t="s">
        <v>45</v>
      </c>
    </row>
    <row r="540" ht="15.75" customHeight="1">
      <c r="A540" s="57"/>
      <c r="B540" s="57"/>
      <c r="C540" s="57"/>
      <c r="D540" s="57"/>
      <c r="E540" s="57"/>
      <c r="F540" s="57"/>
    </row>
  </sheetData>
  <mergeCells count="60">
    <mergeCell ref="B379:C379"/>
    <mergeCell ref="D379:E379"/>
    <mergeCell ref="A404:F404"/>
    <mergeCell ref="B406:C406"/>
    <mergeCell ref="D406:E406"/>
    <mergeCell ref="A431:F431"/>
    <mergeCell ref="B433:C433"/>
    <mergeCell ref="D433:E433"/>
    <mergeCell ref="A458:F458"/>
    <mergeCell ref="B460:C460"/>
    <mergeCell ref="D460:E460"/>
    <mergeCell ref="A485:F485"/>
    <mergeCell ref="B487:C487"/>
    <mergeCell ref="D487:E487"/>
    <mergeCell ref="B1:C1"/>
    <mergeCell ref="D1:E1"/>
    <mergeCell ref="A26:F26"/>
    <mergeCell ref="B28:C28"/>
    <mergeCell ref="D28:E28"/>
    <mergeCell ref="A53:F53"/>
    <mergeCell ref="B55:C55"/>
    <mergeCell ref="D55:E55"/>
    <mergeCell ref="A80:F80"/>
    <mergeCell ref="B82:C82"/>
    <mergeCell ref="D82:E82"/>
    <mergeCell ref="A107:F107"/>
    <mergeCell ref="B109:C109"/>
    <mergeCell ref="D109:E109"/>
    <mergeCell ref="A134:F134"/>
    <mergeCell ref="B136:C136"/>
    <mergeCell ref="D136:E136"/>
    <mergeCell ref="A161:F161"/>
    <mergeCell ref="B163:C163"/>
    <mergeCell ref="D163:E163"/>
    <mergeCell ref="A188:F188"/>
    <mergeCell ref="B190:C190"/>
    <mergeCell ref="D190:E190"/>
    <mergeCell ref="A215:F215"/>
    <mergeCell ref="B217:C217"/>
    <mergeCell ref="D217:E217"/>
    <mergeCell ref="A242:F242"/>
    <mergeCell ref="B244:C244"/>
    <mergeCell ref="D244:E244"/>
    <mergeCell ref="A269:F269"/>
    <mergeCell ref="B271:C271"/>
    <mergeCell ref="D271:E271"/>
    <mergeCell ref="A296:F296"/>
    <mergeCell ref="B298:C298"/>
    <mergeCell ref="D298:E298"/>
    <mergeCell ref="A323:F323"/>
    <mergeCell ref="B325:C325"/>
    <mergeCell ref="D325:E325"/>
    <mergeCell ref="A350:F350"/>
    <mergeCell ref="B352:C352"/>
    <mergeCell ref="D352:E352"/>
    <mergeCell ref="A377:F377"/>
    <mergeCell ref="A512:F512"/>
    <mergeCell ref="B514:C514"/>
    <mergeCell ref="D514:E514"/>
    <mergeCell ref="A539:F539"/>
  </mergeCells>
  <printOptions gridLines="1" horizontalCentered="1"/>
  <pageMargins bottom="0.75" footer="0.0" header="0.0" left="0.7" right="0.7" top="0.75"/>
  <pageSetup fitToHeight="0"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5" width="18.88"/>
  </cols>
  <sheetData>
    <row r="1" ht="31.5" customHeight="1">
      <c r="A1" s="57"/>
      <c r="B1" s="58" t="s">
        <v>5</v>
      </c>
      <c r="D1" s="58" t="s">
        <v>6</v>
      </c>
      <c r="F1" s="57"/>
    </row>
    <row r="2" ht="15.75" customHeight="1">
      <c r="A2" s="57"/>
      <c r="B2" s="59" t="s">
        <v>8</v>
      </c>
      <c r="C2" s="60" t="str">
        <f>'Getting Started'!$G$10</f>
        <v/>
      </c>
      <c r="D2" s="59" t="s">
        <v>9</v>
      </c>
      <c r="E2" s="60" t="str">
        <f>'Getting Started'!$I$10</f>
        <v/>
      </c>
      <c r="F2" s="57"/>
    </row>
    <row r="3" ht="15.75" customHeight="1">
      <c r="A3" s="57"/>
      <c r="B3" s="59" t="s">
        <v>11</v>
      </c>
      <c r="C3" s="61" t="str">
        <f>'Getting Started'!$G$11</f>
        <v/>
      </c>
      <c r="D3" s="59" t="s">
        <v>12</v>
      </c>
      <c r="E3" s="60" t="str">
        <f>'Getting Started'!$I$11</f>
        <v/>
      </c>
      <c r="F3" s="57"/>
    </row>
    <row r="4" ht="31.5" customHeight="1">
      <c r="A4" s="57"/>
      <c r="B4" s="59" t="s">
        <v>13</v>
      </c>
      <c r="C4" s="60" t="str">
        <f>'Getting Started'!$G$12</f>
        <v/>
      </c>
      <c r="D4" s="59" t="s">
        <v>14</v>
      </c>
      <c r="E4" s="60" t="str">
        <f>'Getting Started'!$I$12</f>
        <v/>
      </c>
      <c r="F4" s="57"/>
    </row>
    <row r="5" ht="31.5" customHeight="1">
      <c r="A5" s="57"/>
      <c r="B5" s="59" t="s">
        <v>15</v>
      </c>
      <c r="C5" s="62" t="str">
        <f>'Getting Started'!$G$14</f>
        <v/>
      </c>
      <c r="D5" s="59" t="s">
        <v>16</v>
      </c>
      <c r="E5" s="60" t="str">
        <f>'Getting Started'!$I$14</f>
        <v/>
      </c>
      <c r="F5" s="57"/>
    </row>
    <row r="6" ht="31.5" customHeight="1">
      <c r="A6" s="57"/>
      <c r="B6" s="66" t="s">
        <v>46</v>
      </c>
      <c r="C6" s="66" t="s">
        <v>47</v>
      </c>
      <c r="D6" s="66" t="s">
        <v>48</v>
      </c>
      <c r="E6" s="66" t="s">
        <v>49</v>
      </c>
      <c r="F6" s="57"/>
    </row>
    <row r="7" ht="31.5" customHeight="1">
      <c r="A7" s="57"/>
      <c r="B7" s="67"/>
      <c r="C7" s="67"/>
      <c r="D7" s="68"/>
      <c r="E7" s="68"/>
      <c r="F7" s="57"/>
    </row>
    <row r="8" ht="31.5" customHeight="1">
      <c r="A8" s="57"/>
      <c r="B8" s="67"/>
      <c r="C8" s="67"/>
      <c r="D8" s="68"/>
      <c r="E8" s="68"/>
      <c r="F8" s="57"/>
    </row>
    <row r="9" ht="31.5" customHeight="1">
      <c r="A9" s="57"/>
      <c r="B9" s="67"/>
      <c r="C9" s="67"/>
      <c r="D9" s="68"/>
      <c r="E9" s="68"/>
      <c r="F9" s="57"/>
    </row>
    <row r="10" ht="31.5" customHeight="1">
      <c r="A10" s="57"/>
      <c r="B10" s="67"/>
      <c r="C10" s="67"/>
      <c r="D10" s="68"/>
      <c r="E10" s="68"/>
      <c r="F10" s="57"/>
    </row>
    <row r="11" ht="31.5" customHeight="1">
      <c r="A11" s="57"/>
      <c r="B11" s="67"/>
      <c r="C11" s="67"/>
      <c r="D11" s="68"/>
      <c r="E11" s="68"/>
      <c r="F11" s="57"/>
    </row>
    <row r="12" ht="31.5" customHeight="1">
      <c r="A12" s="57"/>
      <c r="B12" s="67"/>
      <c r="C12" s="67"/>
      <c r="D12" s="68"/>
      <c r="E12" s="68"/>
      <c r="F12" s="57"/>
    </row>
    <row r="13" ht="31.5" customHeight="1">
      <c r="A13" s="57"/>
      <c r="B13" s="67"/>
      <c r="C13" s="67"/>
      <c r="D13" s="68"/>
      <c r="E13" s="68"/>
      <c r="F13" s="57"/>
    </row>
    <row r="14" ht="31.5" customHeight="1">
      <c r="A14" s="57"/>
      <c r="B14" s="67"/>
      <c r="C14" s="67"/>
      <c r="D14" s="68"/>
      <c r="E14" s="68"/>
      <c r="F14" s="57"/>
    </row>
    <row r="15" ht="31.5" customHeight="1">
      <c r="A15" s="57"/>
      <c r="B15" s="67"/>
      <c r="C15" s="67"/>
      <c r="D15" s="68"/>
      <c r="E15" s="68"/>
      <c r="F15" s="57"/>
    </row>
    <row r="16" ht="31.5" customHeight="1">
      <c r="A16" s="57"/>
      <c r="B16" s="67"/>
      <c r="C16" s="67"/>
      <c r="D16" s="68"/>
      <c r="E16" s="68"/>
      <c r="F16" s="57"/>
    </row>
    <row r="17" ht="31.5" customHeight="1">
      <c r="A17" s="57"/>
      <c r="B17" s="67"/>
      <c r="C17" s="67"/>
      <c r="D17" s="68"/>
      <c r="E17" s="68"/>
      <c r="F17" s="57"/>
    </row>
    <row r="18" ht="31.5" customHeight="1">
      <c r="A18" s="57"/>
      <c r="B18" s="67"/>
      <c r="C18" s="67"/>
      <c r="D18" s="68"/>
      <c r="E18" s="68"/>
      <c r="F18" s="57"/>
    </row>
    <row r="19" ht="31.5" customHeight="1">
      <c r="A19" s="57"/>
      <c r="B19" s="67"/>
      <c r="C19" s="67"/>
      <c r="D19" s="68"/>
      <c r="E19" s="68"/>
      <c r="F19" s="57"/>
    </row>
    <row r="20" ht="31.5" customHeight="1">
      <c r="A20" s="57"/>
      <c r="B20" s="67"/>
      <c r="C20" s="67"/>
      <c r="D20" s="68"/>
      <c r="E20" s="68"/>
      <c r="F20" s="57"/>
    </row>
    <row r="21" ht="31.5" customHeight="1">
      <c r="A21" s="57"/>
      <c r="B21" s="67"/>
      <c r="C21" s="67"/>
      <c r="D21" s="68"/>
      <c r="E21" s="68"/>
      <c r="F21" s="57"/>
    </row>
    <row r="22" ht="31.5" customHeight="1">
      <c r="A22" s="57"/>
      <c r="B22" s="67"/>
      <c r="C22" s="67"/>
      <c r="D22" s="68"/>
      <c r="E22" s="68"/>
      <c r="F22" s="57"/>
    </row>
    <row r="23" ht="31.5" customHeight="1">
      <c r="A23" s="57"/>
      <c r="B23" s="67"/>
      <c r="C23" s="67"/>
      <c r="D23" s="68"/>
      <c r="E23" s="68"/>
      <c r="F23" s="57"/>
    </row>
    <row r="24" ht="31.5" customHeight="1">
      <c r="A24" s="57"/>
      <c r="B24" s="67"/>
      <c r="C24" s="67"/>
      <c r="D24" s="68"/>
      <c r="E24" s="68"/>
      <c r="F24" s="57"/>
    </row>
    <row r="25" ht="31.5" customHeight="1">
      <c r="A25" s="57"/>
      <c r="B25" s="67"/>
      <c r="C25" s="67"/>
      <c r="D25" s="68"/>
      <c r="E25" s="68"/>
      <c r="F25" s="57"/>
    </row>
    <row r="26" ht="31.5" customHeight="1">
      <c r="A26" s="65" t="s">
        <v>26</v>
      </c>
    </row>
    <row r="27">
      <c r="A27" s="57"/>
      <c r="B27" s="69"/>
      <c r="C27" s="69"/>
      <c r="D27" s="70"/>
      <c r="E27" s="70"/>
      <c r="F27" s="57"/>
    </row>
    <row r="28" ht="31.5" customHeight="1">
      <c r="A28" s="57"/>
      <c r="B28" s="58" t="s">
        <v>5</v>
      </c>
      <c r="D28" s="58" t="s">
        <v>6</v>
      </c>
      <c r="F28" s="57"/>
    </row>
    <row r="29" ht="15.75" customHeight="1">
      <c r="A29" s="57"/>
      <c r="B29" s="59" t="s">
        <v>8</v>
      </c>
      <c r="C29" s="60" t="str">
        <f>'Getting Started'!$G$10</f>
        <v/>
      </c>
      <c r="D29" s="59" t="s">
        <v>9</v>
      </c>
      <c r="E29" s="60" t="str">
        <f>'Getting Started'!$I$10</f>
        <v/>
      </c>
      <c r="F29" s="57"/>
    </row>
    <row r="30" ht="15.75" customHeight="1">
      <c r="A30" s="57"/>
      <c r="B30" s="59" t="s">
        <v>11</v>
      </c>
      <c r="C30" s="61" t="str">
        <f>'Getting Started'!$G$11</f>
        <v/>
      </c>
      <c r="D30" s="59" t="s">
        <v>12</v>
      </c>
      <c r="E30" s="60" t="str">
        <f>'Getting Started'!$I$11</f>
        <v/>
      </c>
      <c r="F30" s="57"/>
    </row>
    <row r="31" ht="31.5" customHeight="1">
      <c r="A31" s="57"/>
      <c r="B31" s="59" t="s">
        <v>13</v>
      </c>
      <c r="C31" s="60" t="str">
        <f>'Getting Started'!$G$12</f>
        <v/>
      </c>
      <c r="D31" s="59" t="s">
        <v>14</v>
      </c>
      <c r="E31" s="60" t="str">
        <f>'Getting Started'!$I$12</f>
        <v/>
      </c>
      <c r="F31" s="57"/>
    </row>
    <row r="32" ht="31.5" customHeight="1">
      <c r="A32" s="57"/>
      <c r="B32" s="59" t="s">
        <v>15</v>
      </c>
      <c r="C32" s="62" t="str">
        <f>'Getting Started'!$G$14</f>
        <v/>
      </c>
      <c r="D32" s="59" t="s">
        <v>16</v>
      </c>
      <c r="E32" s="60" t="str">
        <f>'Getting Started'!$I$14</f>
        <v/>
      </c>
      <c r="F32" s="57"/>
    </row>
    <row r="33" ht="31.5" customHeight="1">
      <c r="A33" s="57"/>
      <c r="B33" s="66" t="s">
        <v>46</v>
      </c>
      <c r="C33" s="66" t="s">
        <v>47</v>
      </c>
      <c r="D33" s="66" t="s">
        <v>48</v>
      </c>
      <c r="E33" s="66" t="s">
        <v>49</v>
      </c>
      <c r="F33" s="57"/>
    </row>
    <row r="34" ht="31.5" customHeight="1">
      <c r="A34" s="57"/>
      <c r="B34" s="67"/>
      <c r="C34" s="67"/>
      <c r="D34" s="68"/>
      <c r="E34" s="68"/>
      <c r="F34" s="57"/>
    </row>
    <row r="35" ht="31.5" customHeight="1">
      <c r="A35" s="57"/>
      <c r="B35" s="67"/>
      <c r="C35" s="67"/>
      <c r="D35" s="68"/>
      <c r="E35" s="68"/>
      <c r="F35" s="57"/>
    </row>
    <row r="36" ht="31.5" customHeight="1">
      <c r="A36" s="57"/>
      <c r="B36" s="67"/>
      <c r="C36" s="67"/>
      <c r="D36" s="68"/>
      <c r="E36" s="68"/>
      <c r="F36" s="57"/>
    </row>
    <row r="37" ht="31.5" customHeight="1">
      <c r="A37" s="57"/>
      <c r="B37" s="67"/>
      <c r="C37" s="67"/>
      <c r="D37" s="68"/>
      <c r="E37" s="68"/>
      <c r="F37" s="57"/>
    </row>
    <row r="38" ht="31.5" customHeight="1">
      <c r="A38" s="57"/>
      <c r="B38" s="67"/>
      <c r="C38" s="67"/>
      <c r="D38" s="68"/>
      <c r="E38" s="68"/>
      <c r="F38" s="57"/>
    </row>
    <row r="39" ht="31.5" customHeight="1">
      <c r="A39" s="57"/>
      <c r="B39" s="67"/>
      <c r="C39" s="67"/>
      <c r="D39" s="68"/>
      <c r="E39" s="68"/>
      <c r="F39" s="57"/>
    </row>
    <row r="40" ht="31.5" customHeight="1">
      <c r="A40" s="57"/>
      <c r="B40" s="67"/>
      <c r="C40" s="67"/>
      <c r="D40" s="68"/>
      <c r="E40" s="68"/>
      <c r="F40" s="57"/>
    </row>
    <row r="41" ht="31.5" customHeight="1">
      <c r="A41" s="57"/>
      <c r="B41" s="67"/>
      <c r="C41" s="67"/>
      <c r="D41" s="68"/>
      <c r="E41" s="68"/>
      <c r="F41" s="57"/>
    </row>
    <row r="42" ht="31.5" customHeight="1">
      <c r="A42" s="57"/>
      <c r="B42" s="67"/>
      <c r="C42" s="67"/>
      <c r="D42" s="68"/>
      <c r="E42" s="68"/>
      <c r="F42" s="57"/>
    </row>
    <row r="43" ht="31.5" customHeight="1">
      <c r="A43" s="57"/>
      <c r="B43" s="67"/>
      <c r="C43" s="67"/>
      <c r="D43" s="68"/>
      <c r="E43" s="68"/>
      <c r="F43" s="57"/>
    </row>
    <row r="44" ht="31.5" customHeight="1">
      <c r="A44" s="57"/>
      <c r="B44" s="67"/>
      <c r="C44" s="67"/>
      <c r="D44" s="68"/>
      <c r="E44" s="68"/>
      <c r="F44" s="57"/>
    </row>
    <row r="45" ht="31.5" customHeight="1">
      <c r="A45" s="57"/>
      <c r="B45" s="67"/>
      <c r="C45" s="67"/>
      <c r="D45" s="68"/>
      <c r="E45" s="68"/>
      <c r="F45" s="57"/>
    </row>
    <row r="46" ht="31.5" customHeight="1">
      <c r="A46" s="57"/>
      <c r="B46" s="67"/>
      <c r="C46" s="67"/>
      <c r="D46" s="68"/>
      <c r="E46" s="68"/>
      <c r="F46" s="57"/>
    </row>
    <row r="47" ht="31.5" customHeight="1">
      <c r="A47" s="57"/>
      <c r="B47" s="67"/>
      <c r="C47" s="67"/>
      <c r="D47" s="68"/>
      <c r="E47" s="68"/>
      <c r="F47" s="57"/>
    </row>
    <row r="48" ht="31.5" customHeight="1">
      <c r="A48" s="57"/>
      <c r="B48" s="67"/>
      <c r="C48" s="67"/>
      <c r="D48" s="68"/>
      <c r="E48" s="68"/>
      <c r="F48" s="57"/>
    </row>
    <row r="49" ht="31.5" customHeight="1">
      <c r="A49" s="57"/>
      <c r="B49" s="67"/>
      <c r="C49" s="67"/>
      <c r="D49" s="68"/>
      <c r="E49" s="68"/>
      <c r="F49" s="57"/>
    </row>
    <row r="50" ht="31.5" customHeight="1">
      <c r="A50" s="57"/>
      <c r="B50" s="67"/>
      <c r="C50" s="67"/>
      <c r="D50" s="68"/>
      <c r="E50" s="68"/>
      <c r="F50" s="57"/>
    </row>
    <row r="51" ht="31.5" customHeight="1">
      <c r="A51" s="57"/>
      <c r="B51" s="67"/>
      <c r="C51" s="67"/>
      <c r="D51" s="68"/>
      <c r="E51" s="68"/>
      <c r="F51" s="57"/>
    </row>
    <row r="52" ht="31.5" customHeight="1">
      <c r="A52" s="57"/>
      <c r="B52" s="67"/>
      <c r="C52" s="67"/>
      <c r="D52" s="68"/>
      <c r="E52" s="68"/>
      <c r="F52" s="57"/>
    </row>
    <row r="53" ht="31.5" customHeight="1">
      <c r="A53" s="65" t="s">
        <v>27</v>
      </c>
    </row>
    <row r="54">
      <c r="A54" s="57"/>
      <c r="B54" s="69"/>
      <c r="C54" s="69"/>
      <c r="D54" s="70"/>
      <c r="E54" s="70"/>
      <c r="F54" s="57"/>
    </row>
    <row r="55" ht="31.5" customHeight="1">
      <c r="A55" s="57"/>
      <c r="B55" s="58" t="s">
        <v>5</v>
      </c>
      <c r="D55" s="58" t="s">
        <v>6</v>
      </c>
      <c r="F55" s="57"/>
    </row>
    <row r="56" ht="15.75" customHeight="1">
      <c r="A56" s="57"/>
      <c r="B56" s="59" t="s">
        <v>8</v>
      </c>
      <c r="C56" s="60" t="str">
        <f>'Getting Started'!$G$10</f>
        <v/>
      </c>
      <c r="D56" s="59" t="s">
        <v>9</v>
      </c>
      <c r="E56" s="60" t="str">
        <f>'Getting Started'!$I$10</f>
        <v/>
      </c>
      <c r="F56" s="57"/>
    </row>
    <row r="57" ht="15.75" customHeight="1">
      <c r="A57" s="57"/>
      <c r="B57" s="59" t="s">
        <v>11</v>
      </c>
      <c r="C57" s="61" t="str">
        <f>'Getting Started'!$G$11</f>
        <v/>
      </c>
      <c r="D57" s="59" t="s">
        <v>12</v>
      </c>
      <c r="E57" s="60" t="str">
        <f>'Getting Started'!$I$11</f>
        <v/>
      </c>
      <c r="F57" s="57"/>
    </row>
    <row r="58" ht="31.5" customHeight="1">
      <c r="A58" s="57"/>
      <c r="B58" s="59" t="s">
        <v>13</v>
      </c>
      <c r="C58" s="60" t="str">
        <f>'Getting Started'!$G$12</f>
        <v/>
      </c>
      <c r="D58" s="59" t="s">
        <v>14</v>
      </c>
      <c r="E58" s="60" t="str">
        <f>'Getting Started'!$I$12</f>
        <v/>
      </c>
      <c r="F58" s="57"/>
    </row>
    <row r="59" ht="31.5" customHeight="1">
      <c r="A59" s="57"/>
      <c r="B59" s="59" t="s">
        <v>15</v>
      </c>
      <c r="C59" s="62" t="str">
        <f>'Getting Started'!$G$14</f>
        <v/>
      </c>
      <c r="D59" s="59" t="s">
        <v>16</v>
      </c>
      <c r="E59" s="60" t="str">
        <f>'Getting Started'!$I$14</f>
        <v/>
      </c>
      <c r="F59" s="57"/>
    </row>
    <row r="60" ht="31.5" customHeight="1">
      <c r="A60" s="57"/>
      <c r="B60" s="66" t="s">
        <v>46</v>
      </c>
      <c r="C60" s="66" t="s">
        <v>47</v>
      </c>
      <c r="D60" s="66" t="s">
        <v>48</v>
      </c>
      <c r="E60" s="66" t="s">
        <v>49</v>
      </c>
      <c r="F60" s="57"/>
    </row>
    <row r="61" ht="31.5" customHeight="1">
      <c r="A61" s="57"/>
      <c r="B61" s="67"/>
      <c r="C61" s="67"/>
      <c r="D61" s="68"/>
      <c r="E61" s="68"/>
      <c r="F61" s="57"/>
    </row>
    <row r="62" ht="31.5" customHeight="1">
      <c r="A62" s="57"/>
      <c r="B62" s="67"/>
      <c r="C62" s="67"/>
      <c r="D62" s="68"/>
      <c r="E62" s="68"/>
      <c r="F62" s="57"/>
    </row>
    <row r="63" ht="31.5" customHeight="1">
      <c r="A63" s="57"/>
      <c r="B63" s="67"/>
      <c r="C63" s="67"/>
      <c r="D63" s="68"/>
      <c r="E63" s="68"/>
      <c r="F63" s="57"/>
    </row>
    <row r="64" ht="31.5" customHeight="1">
      <c r="A64" s="57"/>
      <c r="B64" s="67"/>
      <c r="C64" s="67"/>
      <c r="D64" s="68"/>
      <c r="E64" s="68"/>
      <c r="F64" s="57"/>
    </row>
    <row r="65" ht="31.5" customHeight="1">
      <c r="A65" s="57"/>
      <c r="B65" s="67"/>
      <c r="C65" s="67"/>
      <c r="D65" s="68"/>
      <c r="E65" s="68"/>
      <c r="F65" s="57"/>
    </row>
    <row r="66" ht="31.5" customHeight="1">
      <c r="A66" s="57"/>
      <c r="B66" s="67"/>
      <c r="C66" s="67"/>
      <c r="D66" s="68"/>
      <c r="E66" s="68"/>
      <c r="F66" s="57"/>
    </row>
    <row r="67" ht="31.5" customHeight="1">
      <c r="A67" s="57"/>
      <c r="B67" s="67"/>
      <c r="C67" s="67"/>
      <c r="D67" s="68"/>
      <c r="E67" s="68"/>
      <c r="F67" s="57"/>
    </row>
    <row r="68" ht="31.5" customHeight="1">
      <c r="A68" s="57"/>
      <c r="B68" s="67"/>
      <c r="C68" s="67"/>
      <c r="D68" s="68"/>
      <c r="E68" s="68"/>
      <c r="F68" s="57"/>
    </row>
    <row r="69" ht="31.5" customHeight="1">
      <c r="A69" s="57"/>
      <c r="B69" s="67"/>
      <c r="C69" s="67"/>
      <c r="D69" s="68"/>
      <c r="E69" s="68"/>
      <c r="F69" s="57"/>
    </row>
    <row r="70" ht="31.5" customHeight="1">
      <c r="A70" s="57"/>
      <c r="B70" s="67"/>
      <c r="C70" s="67"/>
      <c r="D70" s="68"/>
      <c r="E70" s="68"/>
      <c r="F70" s="57"/>
    </row>
    <row r="71" ht="31.5" customHeight="1">
      <c r="A71" s="57"/>
      <c r="B71" s="67"/>
      <c r="C71" s="67"/>
      <c r="D71" s="68"/>
      <c r="E71" s="68"/>
      <c r="F71" s="57"/>
    </row>
    <row r="72" ht="31.5" customHeight="1">
      <c r="A72" s="57"/>
      <c r="B72" s="67"/>
      <c r="C72" s="67"/>
      <c r="D72" s="68"/>
      <c r="E72" s="68"/>
      <c r="F72" s="57"/>
    </row>
    <row r="73" ht="31.5" customHeight="1">
      <c r="A73" s="57"/>
      <c r="B73" s="67"/>
      <c r="C73" s="67"/>
      <c r="D73" s="68"/>
      <c r="E73" s="68"/>
      <c r="F73" s="57"/>
    </row>
    <row r="74" ht="31.5" customHeight="1">
      <c r="A74" s="57"/>
      <c r="B74" s="67"/>
      <c r="C74" s="67"/>
      <c r="D74" s="68"/>
      <c r="E74" s="68"/>
      <c r="F74" s="57"/>
    </row>
    <row r="75" ht="31.5" customHeight="1">
      <c r="A75" s="57"/>
      <c r="B75" s="67"/>
      <c r="C75" s="67"/>
      <c r="D75" s="68"/>
      <c r="E75" s="68"/>
      <c r="F75" s="57"/>
    </row>
    <row r="76" ht="31.5" customHeight="1">
      <c r="A76" s="57"/>
      <c r="B76" s="67"/>
      <c r="C76" s="67"/>
      <c r="D76" s="68"/>
      <c r="E76" s="68"/>
      <c r="F76" s="57"/>
    </row>
    <row r="77" ht="31.5" customHeight="1">
      <c r="A77" s="57"/>
      <c r="B77" s="67"/>
      <c r="C77" s="67"/>
      <c r="D77" s="68"/>
      <c r="E77" s="68"/>
      <c r="F77" s="57"/>
    </row>
    <row r="78" ht="31.5" customHeight="1">
      <c r="A78" s="57"/>
      <c r="B78" s="67"/>
      <c r="C78" s="67"/>
      <c r="D78" s="68"/>
      <c r="E78" s="68"/>
      <c r="F78" s="57"/>
    </row>
    <row r="79" ht="31.5" customHeight="1">
      <c r="A79" s="57"/>
      <c r="B79" s="67"/>
      <c r="C79" s="67"/>
      <c r="D79" s="68"/>
      <c r="E79" s="68"/>
      <c r="F79" s="57"/>
    </row>
    <row r="80" ht="31.5" customHeight="1">
      <c r="A80" s="65" t="s">
        <v>28</v>
      </c>
    </row>
    <row r="81">
      <c r="A81" s="57"/>
      <c r="B81" s="69"/>
      <c r="C81" s="69"/>
      <c r="D81" s="70"/>
      <c r="E81" s="70"/>
      <c r="F81" s="57"/>
    </row>
    <row r="82" ht="31.5" customHeight="1">
      <c r="A82" s="57"/>
      <c r="B82" s="58" t="s">
        <v>5</v>
      </c>
      <c r="D82" s="58" t="s">
        <v>6</v>
      </c>
      <c r="F82" s="57"/>
    </row>
    <row r="83" ht="15.75" customHeight="1">
      <c r="A83" s="57"/>
      <c r="B83" s="59" t="s">
        <v>8</v>
      </c>
      <c r="C83" s="60" t="str">
        <f>'Getting Started'!$G$10</f>
        <v/>
      </c>
      <c r="D83" s="59" t="s">
        <v>9</v>
      </c>
      <c r="E83" s="60" t="str">
        <f>'Getting Started'!$I$10</f>
        <v/>
      </c>
      <c r="F83" s="57"/>
    </row>
    <row r="84" ht="15.75" customHeight="1">
      <c r="A84" s="57"/>
      <c r="B84" s="59" t="s">
        <v>11</v>
      </c>
      <c r="C84" s="61" t="str">
        <f>'Getting Started'!$G$11</f>
        <v/>
      </c>
      <c r="D84" s="59" t="s">
        <v>12</v>
      </c>
      <c r="E84" s="60" t="str">
        <f>'Getting Started'!$I$11</f>
        <v/>
      </c>
      <c r="F84" s="57"/>
    </row>
    <row r="85" ht="31.5" customHeight="1">
      <c r="A85" s="57"/>
      <c r="B85" s="59" t="s">
        <v>13</v>
      </c>
      <c r="C85" s="60" t="str">
        <f>'Getting Started'!$G$12</f>
        <v/>
      </c>
      <c r="D85" s="59" t="s">
        <v>14</v>
      </c>
      <c r="E85" s="60" t="str">
        <f>'Getting Started'!$I$12</f>
        <v/>
      </c>
      <c r="F85" s="57"/>
    </row>
    <row r="86" ht="31.5" customHeight="1">
      <c r="A86" s="57"/>
      <c r="B86" s="59" t="s">
        <v>15</v>
      </c>
      <c r="C86" s="62" t="str">
        <f>'Getting Started'!$G$14</f>
        <v/>
      </c>
      <c r="D86" s="59" t="s">
        <v>16</v>
      </c>
      <c r="E86" s="60" t="str">
        <f>'Getting Started'!$I$14</f>
        <v/>
      </c>
      <c r="F86" s="57"/>
    </row>
    <row r="87" ht="31.5" customHeight="1">
      <c r="A87" s="57"/>
      <c r="B87" s="66" t="s">
        <v>46</v>
      </c>
      <c r="C87" s="66" t="s">
        <v>47</v>
      </c>
      <c r="D87" s="66" t="s">
        <v>48</v>
      </c>
      <c r="E87" s="66" t="s">
        <v>49</v>
      </c>
      <c r="F87" s="57"/>
    </row>
    <row r="88" ht="31.5" customHeight="1">
      <c r="A88" s="57"/>
      <c r="B88" s="67"/>
      <c r="C88" s="67"/>
      <c r="D88" s="68"/>
      <c r="E88" s="68"/>
      <c r="F88" s="57"/>
    </row>
    <row r="89" ht="31.5" customHeight="1">
      <c r="A89" s="57"/>
      <c r="B89" s="67"/>
      <c r="C89" s="67"/>
      <c r="D89" s="68"/>
      <c r="E89" s="68"/>
      <c r="F89" s="57"/>
    </row>
    <row r="90" ht="31.5" customHeight="1">
      <c r="A90" s="57"/>
      <c r="B90" s="67"/>
      <c r="C90" s="67"/>
      <c r="D90" s="68"/>
      <c r="E90" s="68"/>
      <c r="F90" s="57"/>
    </row>
    <row r="91" ht="31.5" customHeight="1">
      <c r="A91" s="57"/>
      <c r="B91" s="67"/>
      <c r="C91" s="67"/>
      <c r="D91" s="68"/>
      <c r="E91" s="68"/>
      <c r="F91" s="57"/>
    </row>
    <row r="92" ht="31.5" customHeight="1">
      <c r="A92" s="57"/>
      <c r="B92" s="67"/>
      <c r="C92" s="67"/>
      <c r="D92" s="68"/>
      <c r="E92" s="68"/>
      <c r="F92" s="57"/>
    </row>
    <row r="93" ht="31.5" customHeight="1">
      <c r="A93" s="57"/>
      <c r="B93" s="67"/>
      <c r="C93" s="67"/>
      <c r="D93" s="68"/>
      <c r="E93" s="68"/>
      <c r="F93" s="57"/>
    </row>
    <row r="94" ht="31.5" customHeight="1">
      <c r="A94" s="57"/>
      <c r="B94" s="67"/>
      <c r="C94" s="67"/>
      <c r="D94" s="68"/>
      <c r="E94" s="68"/>
      <c r="F94" s="57"/>
    </row>
    <row r="95" ht="31.5" customHeight="1">
      <c r="A95" s="57"/>
      <c r="B95" s="67"/>
      <c r="C95" s="67"/>
      <c r="D95" s="68"/>
      <c r="E95" s="68"/>
      <c r="F95" s="57"/>
    </row>
    <row r="96" ht="31.5" customHeight="1">
      <c r="A96" s="57"/>
      <c r="B96" s="67"/>
      <c r="C96" s="67"/>
      <c r="D96" s="68"/>
      <c r="E96" s="68"/>
      <c r="F96" s="57"/>
    </row>
    <row r="97" ht="31.5" customHeight="1">
      <c r="A97" s="57"/>
      <c r="B97" s="67"/>
      <c r="C97" s="67"/>
      <c r="D97" s="68"/>
      <c r="E97" s="68"/>
      <c r="F97" s="57"/>
    </row>
    <row r="98" ht="31.5" customHeight="1">
      <c r="A98" s="57"/>
      <c r="B98" s="67"/>
      <c r="C98" s="67"/>
      <c r="D98" s="68"/>
      <c r="E98" s="68"/>
      <c r="F98" s="57"/>
    </row>
    <row r="99" ht="31.5" customHeight="1">
      <c r="A99" s="57"/>
      <c r="B99" s="67"/>
      <c r="C99" s="67"/>
      <c r="D99" s="68"/>
      <c r="E99" s="68"/>
      <c r="F99" s="57"/>
    </row>
    <row r="100" ht="31.5" customHeight="1">
      <c r="A100" s="57"/>
      <c r="B100" s="67"/>
      <c r="C100" s="67"/>
      <c r="D100" s="68"/>
      <c r="E100" s="68"/>
      <c r="F100" s="57"/>
    </row>
    <row r="101" ht="31.5" customHeight="1">
      <c r="A101" s="57"/>
      <c r="B101" s="67"/>
      <c r="C101" s="67"/>
      <c r="D101" s="68"/>
      <c r="E101" s="68"/>
      <c r="F101" s="57"/>
    </row>
    <row r="102" ht="31.5" customHeight="1">
      <c r="A102" s="57"/>
      <c r="B102" s="67"/>
      <c r="C102" s="67"/>
      <c r="D102" s="68"/>
      <c r="E102" s="68"/>
      <c r="F102" s="57"/>
    </row>
    <row r="103" ht="31.5" customHeight="1">
      <c r="A103" s="57"/>
      <c r="B103" s="67"/>
      <c r="C103" s="67"/>
      <c r="D103" s="68"/>
      <c r="E103" s="68"/>
      <c r="F103" s="57"/>
    </row>
    <row r="104" ht="31.5" customHeight="1">
      <c r="A104" s="57"/>
      <c r="B104" s="67"/>
      <c r="C104" s="67"/>
      <c r="D104" s="68"/>
      <c r="E104" s="68"/>
      <c r="F104" s="57"/>
    </row>
    <row r="105" ht="31.5" customHeight="1">
      <c r="A105" s="57"/>
      <c r="B105" s="67"/>
      <c r="C105" s="67"/>
      <c r="D105" s="68"/>
      <c r="E105" s="68"/>
      <c r="F105" s="57"/>
    </row>
    <row r="106" ht="31.5" customHeight="1">
      <c r="A106" s="57"/>
      <c r="B106" s="67"/>
      <c r="C106" s="67"/>
      <c r="D106" s="68"/>
      <c r="E106" s="68"/>
      <c r="F106" s="57"/>
    </row>
    <row r="107" ht="31.5" customHeight="1">
      <c r="A107" s="65" t="s">
        <v>29</v>
      </c>
    </row>
    <row r="108">
      <c r="A108" s="57"/>
      <c r="B108" s="69"/>
      <c r="C108" s="69"/>
      <c r="D108" s="70"/>
      <c r="E108" s="70"/>
      <c r="F108" s="57"/>
    </row>
    <row r="109" ht="31.5" customHeight="1">
      <c r="A109" s="57"/>
      <c r="B109" s="58" t="s">
        <v>5</v>
      </c>
      <c r="D109" s="58" t="s">
        <v>6</v>
      </c>
      <c r="F109" s="57"/>
    </row>
    <row r="110" ht="15.75" customHeight="1">
      <c r="A110" s="57"/>
      <c r="B110" s="59" t="s">
        <v>8</v>
      </c>
      <c r="C110" s="60" t="str">
        <f>'Getting Started'!$G$10</f>
        <v/>
      </c>
      <c r="D110" s="59" t="s">
        <v>9</v>
      </c>
      <c r="E110" s="60" t="str">
        <f>'Getting Started'!$I$10</f>
        <v/>
      </c>
      <c r="F110" s="57"/>
    </row>
    <row r="111" ht="15.75" customHeight="1">
      <c r="A111" s="57"/>
      <c r="B111" s="59" t="s">
        <v>11</v>
      </c>
      <c r="C111" s="61" t="str">
        <f>'Getting Started'!$G$11</f>
        <v/>
      </c>
      <c r="D111" s="59" t="s">
        <v>12</v>
      </c>
      <c r="E111" s="60" t="str">
        <f>'Getting Started'!$I$11</f>
        <v/>
      </c>
      <c r="F111" s="57"/>
    </row>
    <row r="112" ht="31.5" customHeight="1">
      <c r="A112" s="57"/>
      <c r="B112" s="59" t="s">
        <v>13</v>
      </c>
      <c r="C112" s="60" t="str">
        <f>'Getting Started'!$G$12</f>
        <v/>
      </c>
      <c r="D112" s="59" t="s">
        <v>14</v>
      </c>
      <c r="E112" s="60" t="str">
        <f>'Getting Started'!$I$12</f>
        <v/>
      </c>
      <c r="F112" s="57"/>
    </row>
    <row r="113" ht="31.5" customHeight="1">
      <c r="A113" s="57"/>
      <c r="B113" s="59" t="s">
        <v>15</v>
      </c>
      <c r="C113" s="62" t="str">
        <f>'Getting Started'!$G$14</f>
        <v/>
      </c>
      <c r="D113" s="59" t="s">
        <v>16</v>
      </c>
      <c r="E113" s="60" t="str">
        <f>'Getting Started'!$I$14</f>
        <v/>
      </c>
      <c r="F113" s="57"/>
    </row>
    <row r="114" ht="31.5" customHeight="1">
      <c r="A114" s="57"/>
      <c r="B114" s="66" t="s">
        <v>46</v>
      </c>
      <c r="C114" s="66" t="s">
        <v>47</v>
      </c>
      <c r="D114" s="66" t="s">
        <v>48</v>
      </c>
      <c r="E114" s="66" t="s">
        <v>49</v>
      </c>
      <c r="F114" s="57"/>
    </row>
    <row r="115" ht="31.5" customHeight="1">
      <c r="A115" s="57"/>
      <c r="B115" s="67"/>
      <c r="C115" s="67"/>
      <c r="D115" s="68"/>
      <c r="E115" s="68"/>
      <c r="F115" s="57"/>
    </row>
    <row r="116" ht="31.5" customHeight="1">
      <c r="A116" s="57"/>
      <c r="B116" s="67"/>
      <c r="C116" s="67"/>
      <c r="D116" s="68"/>
      <c r="E116" s="68"/>
      <c r="F116" s="57"/>
    </row>
    <row r="117" ht="31.5" customHeight="1">
      <c r="A117" s="57"/>
      <c r="B117" s="67"/>
      <c r="C117" s="67"/>
      <c r="D117" s="68"/>
      <c r="E117" s="68"/>
      <c r="F117" s="57"/>
    </row>
    <row r="118" ht="31.5" customHeight="1">
      <c r="A118" s="57"/>
      <c r="B118" s="67"/>
      <c r="C118" s="67"/>
      <c r="D118" s="68"/>
      <c r="E118" s="68"/>
      <c r="F118" s="57"/>
    </row>
    <row r="119" ht="31.5" customHeight="1">
      <c r="A119" s="57"/>
      <c r="B119" s="67"/>
      <c r="C119" s="67"/>
      <c r="D119" s="68"/>
      <c r="E119" s="68"/>
      <c r="F119" s="57"/>
    </row>
    <row r="120" ht="31.5" customHeight="1">
      <c r="A120" s="57"/>
      <c r="B120" s="67"/>
      <c r="C120" s="67"/>
      <c r="D120" s="68"/>
      <c r="E120" s="68"/>
      <c r="F120" s="57"/>
    </row>
    <row r="121" ht="31.5" customHeight="1">
      <c r="A121" s="57"/>
      <c r="B121" s="67"/>
      <c r="C121" s="67"/>
      <c r="D121" s="68"/>
      <c r="E121" s="68"/>
      <c r="F121" s="57"/>
    </row>
    <row r="122" ht="31.5" customHeight="1">
      <c r="A122" s="57"/>
      <c r="B122" s="67"/>
      <c r="C122" s="67"/>
      <c r="D122" s="68"/>
      <c r="E122" s="68"/>
      <c r="F122" s="57"/>
    </row>
    <row r="123" ht="31.5" customHeight="1">
      <c r="A123" s="57"/>
      <c r="B123" s="67"/>
      <c r="C123" s="67"/>
      <c r="D123" s="68"/>
      <c r="E123" s="68"/>
      <c r="F123" s="57"/>
    </row>
    <row r="124" ht="31.5" customHeight="1">
      <c r="A124" s="57"/>
      <c r="B124" s="67"/>
      <c r="C124" s="67"/>
      <c r="D124" s="68"/>
      <c r="E124" s="68"/>
      <c r="F124" s="57"/>
    </row>
    <row r="125" ht="31.5" customHeight="1">
      <c r="A125" s="57"/>
      <c r="B125" s="67"/>
      <c r="C125" s="67"/>
      <c r="D125" s="68"/>
      <c r="E125" s="68"/>
      <c r="F125" s="57"/>
    </row>
    <row r="126" ht="31.5" customHeight="1">
      <c r="A126" s="57"/>
      <c r="B126" s="67"/>
      <c r="C126" s="67"/>
      <c r="D126" s="68"/>
      <c r="E126" s="68"/>
      <c r="F126" s="57"/>
    </row>
    <row r="127" ht="31.5" customHeight="1">
      <c r="A127" s="57"/>
      <c r="B127" s="67"/>
      <c r="C127" s="67"/>
      <c r="D127" s="68"/>
      <c r="E127" s="68"/>
      <c r="F127" s="57"/>
    </row>
    <row r="128" ht="31.5" customHeight="1">
      <c r="A128" s="57"/>
      <c r="B128" s="67"/>
      <c r="C128" s="67"/>
      <c r="D128" s="68"/>
      <c r="E128" s="68"/>
      <c r="F128" s="57"/>
    </row>
    <row r="129" ht="31.5" customHeight="1">
      <c r="A129" s="57"/>
      <c r="B129" s="67"/>
      <c r="C129" s="67"/>
      <c r="D129" s="68"/>
      <c r="E129" s="68"/>
      <c r="F129" s="57"/>
    </row>
    <row r="130" ht="31.5" customHeight="1">
      <c r="A130" s="57"/>
      <c r="B130" s="67"/>
      <c r="C130" s="67"/>
      <c r="D130" s="68"/>
      <c r="E130" s="68"/>
      <c r="F130" s="57"/>
    </row>
    <row r="131" ht="31.5" customHeight="1">
      <c r="A131" s="57"/>
      <c r="B131" s="67"/>
      <c r="C131" s="67"/>
      <c r="D131" s="68"/>
      <c r="E131" s="68"/>
      <c r="F131" s="57"/>
    </row>
    <row r="132" ht="31.5" customHeight="1">
      <c r="A132" s="57"/>
      <c r="B132" s="67"/>
      <c r="C132" s="67"/>
      <c r="D132" s="68"/>
      <c r="E132" s="68"/>
      <c r="F132" s="57"/>
    </row>
    <row r="133" ht="31.5" customHeight="1">
      <c r="A133" s="57"/>
      <c r="B133" s="67"/>
      <c r="C133" s="67"/>
      <c r="D133" s="68"/>
      <c r="E133" s="68"/>
      <c r="F133" s="57"/>
    </row>
    <row r="134" ht="31.5" customHeight="1">
      <c r="A134" s="65" t="s">
        <v>30</v>
      </c>
    </row>
    <row r="135">
      <c r="A135" s="57"/>
      <c r="B135" s="69"/>
      <c r="C135" s="69"/>
      <c r="D135" s="70"/>
      <c r="E135" s="70"/>
      <c r="F135" s="57"/>
    </row>
    <row r="136" ht="31.5" customHeight="1">
      <c r="A136" s="57"/>
      <c r="B136" s="58" t="s">
        <v>5</v>
      </c>
      <c r="D136" s="58" t="s">
        <v>6</v>
      </c>
      <c r="F136" s="57"/>
    </row>
    <row r="137" ht="15.75" customHeight="1">
      <c r="A137" s="57"/>
      <c r="B137" s="59" t="s">
        <v>8</v>
      </c>
      <c r="C137" s="60" t="str">
        <f>'Getting Started'!$G$10</f>
        <v/>
      </c>
      <c r="D137" s="59" t="s">
        <v>9</v>
      </c>
      <c r="E137" s="60" t="str">
        <f>'Getting Started'!$I$10</f>
        <v/>
      </c>
      <c r="F137" s="57"/>
    </row>
    <row r="138" ht="15.75" customHeight="1">
      <c r="A138" s="57"/>
      <c r="B138" s="59" t="s">
        <v>11</v>
      </c>
      <c r="C138" s="61" t="str">
        <f>'Getting Started'!$G$11</f>
        <v/>
      </c>
      <c r="D138" s="59" t="s">
        <v>12</v>
      </c>
      <c r="E138" s="60" t="str">
        <f>'Getting Started'!$I$11</f>
        <v/>
      </c>
      <c r="F138" s="57"/>
    </row>
    <row r="139" ht="31.5" customHeight="1">
      <c r="A139" s="57"/>
      <c r="B139" s="59" t="s">
        <v>13</v>
      </c>
      <c r="C139" s="60" t="str">
        <f>'Getting Started'!$G$12</f>
        <v/>
      </c>
      <c r="D139" s="59" t="s">
        <v>14</v>
      </c>
      <c r="E139" s="60" t="str">
        <f>'Getting Started'!$I$12</f>
        <v/>
      </c>
      <c r="F139" s="57"/>
    </row>
    <row r="140" ht="31.5" customHeight="1">
      <c r="A140" s="57"/>
      <c r="B140" s="59" t="s">
        <v>15</v>
      </c>
      <c r="C140" s="62" t="str">
        <f>'Getting Started'!$G$14</f>
        <v/>
      </c>
      <c r="D140" s="59" t="s">
        <v>16</v>
      </c>
      <c r="E140" s="60" t="str">
        <f>'Getting Started'!$I$14</f>
        <v/>
      </c>
      <c r="F140" s="57"/>
    </row>
    <row r="141" ht="31.5" customHeight="1">
      <c r="A141" s="57"/>
      <c r="B141" s="66" t="s">
        <v>46</v>
      </c>
      <c r="C141" s="66" t="s">
        <v>47</v>
      </c>
      <c r="D141" s="66" t="s">
        <v>48</v>
      </c>
      <c r="E141" s="66" t="s">
        <v>49</v>
      </c>
      <c r="F141" s="57"/>
    </row>
    <row r="142" ht="31.5" customHeight="1">
      <c r="A142" s="57"/>
      <c r="B142" s="67"/>
      <c r="C142" s="67"/>
      <c r="D142" s="68"/>
      <c r="E142" s="68"/>
      <c r="F142" s="57"/>
    </row>
    <row r="143" ht="31.5" customHeight="1">
      <c r="A143" s="57"/>
      <c r="B143" s="67"/>
      <c r="C143" s="67"/>
      <c r="D143" s="68"/>
      <c r="E143" s="68"/>
      <c r="F143" s="57"/>
    </row>
    <row r="144" ht="31.5" customHeight="1">
      <c r="A144" s="57"/>
      <c r="B144" s="67"/>
      <c r="C144" s="67"/>
      <c r="D144" s="68"/>
      <c r="E144" s="68"/>
      <c r="F144" s="57"/>
    </row>
    <row r="145" ht="31.5" customHeight="1">
      <c r="A145" s="57"/>
      <c r="B145" s="67"/>
      <c r="C145" s="67"/>
      <c r="D145" s="68"/>
      <c r="E145" s="68"/>
      <c r="F145" s="57"/>
    </row>
    <row r="146" ht="31.5" customHeight="1">
      <c r="A146" s="57"/>
      <c r="B146" s="67"/>
      <c r="C146" s="67"/>
      <c r="D146" s="68"/>
      <c r="E146" s="68"/>
      <c r="F146" s="57"/>
    </row>
    <row r="147" ht="31.5" customHeight="1">
      <c r="A147" s="57"/>
      <c r="B147" s="67"/>
      <c r="C147" s="67"/>
      <c r="D147" s="68"/>
      <c r="E147" s="68"/>
      <c r="F147" s="57"/>
    </row>
    <row r="148" ht="31.5" customHeight="1">
      <c r="A148" s="57"/>
      <c r="B148" s="67"/>
      <c r="C148" s="67"/>
      <c r="D148" s="68"/>
      <c r="E148" s="68"/>
      <c r="F148" s="57"/>
    </row>
    <row r="149" ht="31.5" customHeight="1">
      <c r="A149" s="57"/>
      <c r="B149" s="67"/>
      <c r="C149" s="67"/>
      <c r="D149" s="68"/>
      <c r="E149" s="68"/>
      <c r="F149" s="57"/>
    </row>
    <row r="150" ht="31.5" customHeight="1">
      <c r="A150" s="57"/>
      <c r="B150" s="67"/>
      <c r="C150" s="67"/>
      <c r="D150" s="68"/>
      <c r="E150" s="68"/>
      <c r="F150" s="57"/>
    </row>
    <row r="151" ht="31.5" customHeight="1">
      <c r="A151" s="57"/>
      <c r="B151" s="67"/>
      <c r="C151" s="67"/>
      <c r="D151" s="68"/>
      <c r="E151" s="68"/>
      <c r="F151" s="57"/>
    </row>
    <row r="152" ht="31.5" customHeight="1">
      <c r="A152" s="57"/>
      <c r="B152" s="67"/>
      <c r="C152" s="67"/>
      <c r="D152" s="68"/>
      <c r="E152" s="68"/>
      <c r="F152" s="57"/>
    </row>
    <row r="153" ht="31.5" customHeight="1">
      <c r="A153" s="57"/>
      <c r="B153" s="67"/>
      <c r="C153" s="67"/>
      <c r="D153" s="68"/>
      <c r="E153" s="68"/>
      <c r="F153" s="57"/>
    </row>
    <row r="154" ht="31.5" customHeight="1">
      <c r="A154" s="57"/>
      <c r="B154" s="67"/>
      <c r="C154" s="67"/>
      <c r="D154" s="68"/>
      <c r="E154" s="68"/>
      <c r="F154" s="57"/>
    </row>
    <row r="155" ht="31.5" customHeight="1">
      <c r="A155" s="57"/>
      <c r="B155" s="67"/>
      <c r="C155" s="67"/>
      <c r="D155" s="68"/>
      <c r="E155" s="68"/>
      <c r="F155" s="57"/>
    </row>
    <row r="156" ht="31.5" customHeight="1">
      <c r="A156" s="57"/>
      <c r="B156" s="67"/>
      <c r="C156" s="67"/>
      <c r="D156" s="68"/>
      <c r="E156" s="68"/>
      <c r="F156" s="57"/>
    </row>
    <row r="157" ht="31.5" customHeight="1">
      <c r="A157" s="57"/>
      <c r="B157" s="67"/>
      <c r="C157" s="67"/>
      <c r="D157" s="68"/>
      <c r="E157" s="68"/>
      <c r="F157" s="57"/>
    </row>
    <row r="158" ht="31.5" customHeight="1">
      <c r="A158" s="57"/>
      <c r="B158" s="67"/>
      <c r="C158" s="67"/>
      <c r="D158" s="68"/>
      <c r="E158" s="68"/>
      <c r="F158" s="57"/>
    </row>
    <row r="159" ht="31.5" customHeight="1">
      <c r="A159" s="57"/>
      <c r="B159" s="67"/>
      <c r="C159" s="67"/>
      <c r="D159" s="68"/>
      <c r="E159" s="68"/>
      <c r="F159" s="57"/>
    </row>
    <row r="160" ht="31.5" customHeight="1">
      <c r="A160" s="57"/>
      <c r="B160" s="67"/>
      <c r="C160" s="67"/>
      <c r="D160" s="68"/>
      <c r="E160" s="68"/>
      <c r="F160" s="57"/>
    </row>
    <row r="161" ht="31.5" customHeight="1">
      <c r="A161" s="65" t="s">
        <v>31</v>
      </c>
    </row>
    <row r="162">
      <c r="A162" s="57"/>
      <c r="B162" s="69"/>
      <c r="C162" s="69"/>
      <c r="D162" s="70"/>
      <c r="E162" s="70"/>
      <c r="F162" s="57"/>
    </row>
    <row r="163" ht="31.5" customHeight="1">
      <c r="A163" s="57"/>
      <c r="B163" s="58" t="s">
        <v>5</v>
      </c>
      <c r="D163" s="58" t="s">
        <v>6</v>
      </c>
      <c r="F163" s="57"/>
    </row>
    <row r="164" ht="15.75" customHeight="1">
      <c r="A164" s="57"/>
      <c r="B164" s="59" t="s">
        <v>8</v>
      </c>
      <c r="C164" s="60" t="str">
        <f>'Getting Started'!$G$10</f>
        <v/>
      </c>
      <c r="D164" s="59" t="s">
        <v>9</v>
      </c>
      <c r="E164" s="60" t="str">
        <f>'Getting Started'!$I$10</f>
        <v/>
      </c>
      <c r="F164" s="57"/>
    </row>
    <row r="165" ht="15.75" customHeight="1">
      <c r="A165" s="57"/>
      <c r="B165" s="59" t="s">
        <v>11</v>
      </c>
      <c r="C165" s="61" t="str">
        <f>'Getting Started'!$G$11</f>
        <v/>
      </c>
      <c r="D165" s="59" t="s">
        <v>12</v>
      </c>
      <c r="E165" s="60" t="str">
        <f>'Getting Started'!$I$11</f>
        <v/>
      </c>
      <c r="F165" s="57"/>
    </row>
    <row r="166" ht="31.5" customHeight="1">
      <c r="A166" s="57"/>
      <c r="B166" s="59" t="s">
        <v>13</v>
      </c>
      <c r="C166" s="60" t="str">
        <f>'Getting Started'!$G$12</f>
        <v/>
      </c>
      <c r="D166" s="59" t="s">
        <v>14</v>
      </c>
      <c r="E166" s="60" t="str">
        <f>'Getting Started'!$I$12</f>
        <v/>
      </c>
      <c r="F166" s="57"/>
    </row>
    <row r="167" ht="31.5" customHeight="1">
      <c r="A167" s="57"/>
      <c r="B167" s="59" t="s">
        <v>15</v>
      </c>
      <c r="C167" s="62" t="str">
        <f>'Getting Started'!$G$14</f>
        <v/>
      </c>
      <c r="D167" s="59" t="s">
        <v>16</v>
      </c>
      <c r="E167" s="60" t="str">
        <f>'Getting Started'!$I$14</f>
        <v/>
      </c>
      <c r="F167" s="57"/>
    </row>
    <row r="168" ht="31.5" customHeight="1">
      <c r="A168" s="57"/>
      <c r="B168" s="66" t="s">
        <v>46</v>
      </c>
      <c r="C168" s="66" t="s">
        <v>47</v>
      </c>
      <c r="D168" s="66" t="s">
        <v>48</v>
      </c>
      <c r="E168" s="66" t="s">
        <v>49</v>
      </c>
      <c r="F168" s="57"/>
    </row>
    <row r="169" ht="31.5" customHeight="1">
      <c r="A169" s="57"/>
      <c r="B169" s="67"/>
      <c r="C169" s="67"/>
      <c r="D169" s="68"/>
      <c r="E169" s="68"/>
      <c r="F169" s="57"/>
    </row>
    <row r="170" ht="31.5" customHeight="1">
      <c r="A170" s="57"/>
      <c r="B170" s="67"/>
      <c r="C170" s="67"/>
      <c r="D170" s="68"/>
      <c r="E170" s="68"/>
      <c r="F170" s="57"/>
    </row>
    <row r="171" ht="31.5" customHeight="1">
      <c r="A171" s="57"/>
      <c r="B171" s="67"/>
      <c r="C171" s="67"/>
      <c r="D171" s="68"/>
      <c r="E171" s="68"/>
      <c r="F171" s="57"/>
    </row>
    <row r="172" ht="31.5" customHeight="1">
      <c r="A172" s="57"/>
      <c r="B172" s="67"/>
      <c r="C172" s="67"/>
      <c r="D172" s="68"/>
      <c r="E172" s="68"/>
      <c r="F172" s="57"/>
    </row>
    <row r="173" ht="31.5" customHeight="1">
      <c r="A173" s="57"/>
      <c r="B173" s="67"/>
      <c r="C173" s="67"/>
      <c r="D173" s="68"/>
      <c r="E173" s="68"/>
      <c r="F173" s="57"/>
    </row>
    <row r="174" ht="31.5" customHeight="1">
      <c r="A174" s="57"/>
      <c r="B174" s="67"/>
      <c r="C174" s="67"/>
      <c r="D174" s="68"/>
      <c r="E174" s="68"/>
      <c r="F174" s="57"/>
    </row>
    <row r="175" ht="31.5" customHeight="1">
      <c r="A175" s="57"/>
      <c r="B175" s="67"/>
      <c r="C175" s="67"/>
      <c r="D175" s="68"/>
      <c r="E175" s="68"/>
      <c r="F175" s="57"/>
    </row>
    <row r="176" ht="31.5" customHeight="1">
      <c r="A176" s="57"/>
      <c r="B176" s="67"/>
      <c r="C176" s="67"/>
      <c r="D176" s="68"/>
      <c r="E176" s="68"/>
      <c r="F176" s="57"/>
    </row>
    <row r="177" ht="31.5" customHeight="1">
      <c r="A177" s="57"/>
      <c r="B177" s="67"/>
      <c r="C177" s="67"/>
      <c r="D177" s="68"/>
      <c r="E177" s="68"/>
      <c r="F177" s="57"/>
    </row>
    <row r="178" ht="31.5" customHeight="1">
      <c r="A178" s="57"/>
      <c r="B178" s="67"/>
      <c r="C178" s="67"/>
      <c r="D178" s="68"/>
      <c r="E178" s="68"/>
      <c r="F178" s="57"/>
    </row>
    <row r="179" ht="31.5" customHeight="1">
      <c r="A179" s="57"/>
      <c r="B179" s="67"/>
      <c r="C179" s="67"/>
      <c r="D179" s="68"/>
      <c r="E179" s="68"/>
      <c r="F179" s="57"/>
    </row>
    <row r="180" ht="31.5" customHeight="1">
      <c r="A180" s="57"/>
      <c r="B180" s="67"/>
      <c r="C180" s="67"/>
      <c r="D180" s="68"/>
      <c r="E180" s="68"/>
      <c r="F180" s="57"/>
    </row>
    <row r="181" ht="31.5" customHeight="1">
      <c r="A181" s="57"/>
      <c r="B181" s="67"/>
      <c r="C181" s="67"/>
      <c r="D181" s="68"/>
      <c r="E181" s="68"/>
      <c r="F181" s="57"/>
    </row>
    <row r="182" ht="31.5" customHeight="1">
      <c r="A182" s="57"/>
      <c r="B182" s="67"/>
      <c r="C182" s="67"/>
      <c r="D182" s="68"/>
      <c r="E182" s="68"/>
      <c r="F182" s="57"/>
    </row>
    <row r="183" ht="31.5" customHeight="1">
      <c r="A183" s="57"/>
      <c r="B183" s="67"/>
      <c r="C183" s="67"/>
      <c r="D183" s="68"/>
      <c r="E183" s="68"/>
      <c r="F183" s="57"/>
    </row>
    <row r="184" ht="31.5" customHeight="1">
      <c r="A184" s="57"/>
      <c r="B184" s="67"/>
      <c r="C184" s="67"/>
      <c r="D184" s="68"/>
      <c r="E184" s="68"/>
      <c r="F184" s="57"/>
    </row>
    <row r="185" ht="31.5" customHeight="1">
      <c r="A185" s="57"/>
      <c r="B185" s="67"/>
      <c r="C185" s="67"/>
      <c r="D185" s="68"/>
      <c r="E185" s="68"/>
      <c r="F185" s="57"/>
    </row>
    <row r="186" ht="31.5" customHeight="1">
      <c r="A186" s="57"/>
      <c r="B186" s="67"/>
      <c r="C186" s="67"/>
      <c r="D186" s="68"/>
      <c r="E186" s="68"/>
      <c r="F186" s="57"/>
    </row>
    <row r="187" ht="31.5" customHeight="1">
      <c r="A187" s="57"/>
      <c r="B187" s="67"/>
      <c r="C187" s="67"/>
      <c r="D187" s="68"/>
      <c r="E187" s="68"/>
      <c r="F187" s="57"/>
    </row>
    <row r="188" ht="31.5" customHeight="1">
      <c r="A188" s="65" t="s">
        <v>32</v>
      </c>
    </row>
    <row r="189">
      <c r="A189" s="57"/>
      <c r="B189" s="69"/>
      <c r="C189" s="69"/>
      <c r="D189" s="70"/>
      <c r="E189" s="70"/>
      <c r="F189" s="57"/>
    </row>
    <row r="190" ht="31.5" customHeight="1">
      <c r="A190" s="57"/>
      <c r="B190" s="58" t="s">
        <v>5</v>
      </c>
      <c r="D190" s="58" t="s">
        <v>6</v>
      </c>
      <c r="F190" s="57"/>
    </row>
    <row r="191" ht="15.75" customHeight="1">
      <c r="A191" s="57"/>
      <c r="B191" s="59" t="s">
        <v>8</v>
      </c>
      <c r="C191" s="60" t="str">
        <f>'Getting Started'!$G$10</f>
        <v/>
      </c>
      <c r="D191" s="59" t="s">
        <v>9</v>
      </c>
      <c r="E191" s="60" t="str">
        <f>'Getting Started'!$I$10</f>
        <v/>
      </c>
      <c r="F191" s="57"/>
    </row>
    <row r="192" ht="15.75" customHeight="1">
      <c r="A192" s="57"/>
      <c r="B192" s="59" t="s">
        <v>11</v>
      </c>
      <c r="C192" s="61" t="str">
        <f>'Getting Started'!$G$11</f>
        <v/>
      </c>
      <c r="D192" s="59" t="s">
        <v>12</v>
      </c>
      <c r="E192" s="60" t="str">
        <f>'Getting Started'!$I$11</f>
        <v/>
      </c>
      <c r="F192" s="57"/>
    </row>
    <row r="193" ht="31.5" customHeight="1">
      <c r="A193" s="57"/>
      <c r="B193" s="59" t="s">
        <v>13</v>
      </c>
      <c r="C193" s="60" t="str">
        <f>'Getting Started'!$G$12</f>
        <v/>
      </c>
      <c r="D193" s="59" t="s">
        <v>14</v>
      </c>
      <c r="E193" s="60" t="str">
        <f>'Getting Started'!$I$12</f>
        <v/>
      </c>
      <c r="F193" s="57"/>
    </row>
    <row r="194" ht="31.5" customHeight="1">
      <c r="A194" s="57"/>
      <c r="B194" s="59" t="s">
        <v>15</v>
      </c>
      <c r="C194" s="62" t="str">
        <f>'Getting Started'!$G$14</f>
        <v/>
      </c>
      <c r="D194" s="59" t="s">
        <v>16</v>
      </c>
      <c r="E194" s="60" t="str">
        <f>'Getting Started'!$I$14</f>
        <v/>
      </c>
      <c r="F194" s="57"/>
    </row>
    <row r="195" ht="31.5" customHeight="1">
      <c r="A195" s="57"/>
      <c r="B195" s="66" t="s">
        <v>46</v>
      </c>
      <c r="C195" s="66" t="s">
        <v>47</v>
      </c>
      <c r="D195" s="66" t="s">
        <v>48</v>
      </c>
      <c r="E195" s="66" t="s">
        <v>49</v>
      </c>
      <c r="F195" s="57"/>
    </row>
    <row r="196" ht="31.5" customHeight="1">
      <c r="A196" s="57"/>
      <c r="B196" s="67"/>
      <c r="C196" s="67"/>
      <c r="D196" s="68"/>
      <c r="E196" s="68"/>
      <c r="F196" s="57"/>
    </row>
    <row r="197" ht="31.5" customHeight="1">
      <c r="A197" s="57"/>
      <c r="B197" s="67"/>
      <c r="C197" s="67"/>
      <c r="D197" s="68"/>
      <c r="E197" s="68"/>
      <c r="F197" s="57"/>
    </row>
    <row r="198" ht="31.5" customHeight="1">
      <c r="A198" s="57"/>
      <c r="B198" s="67"/>
      <c r="C198" s="67"/>
      <c r="D198" s="68"/>
      <c r="E198" s="68"/>
      <c r="F198" s="57"/>
    </row>
    <row r="199" ht="31.5" customHeight="1">
      <c r="A199" s="57"/>
      <c r="B199" s="67"/>
      <c r="C199" s="67"/>
      <c r="D199" s="68"/>
      <c r="E199" s="68"/>
      <c r="F199" s="57"/>
    </row>
    <row r="200" ht="31.5" customHeight="1">
      <c r="A200" s="57"/>
      <c r="B200" s="67"/>
      <c r="C200" s="67"/>
      <c r="D200" s="68"/>
      <c r="E200" s="68"/>
      <c r="F200" s="57"/>
    </row>
    <row r="201" ht="31.5" customHeight="1">
      <c r="A201" s="57"/>
      <c r="B201" s="67"/>
      <c r="C201" s="67"/>
      <c r="D201" s="68"/>
      <c r="E201" s="68"/>
      <c r="F201" s="57"/>
    </row>
    <row r="202" ht="31.5" customHeight="1">
      <c r="A202" s="57"/>
      <c r="B202" s="67"/>
      <c r="C202" s="67"/>
      <c r="D202" s="68"/>
      <c r="E202" s="68"/>
      <c r="F202" s="57"/>
    </row>
    <row r="203" ht="31.5" customHeight="1">
      <c r="A203" s="57"/>
      <c r="B203" s="67"/>
      <c r="C203" s="67"/>
      <c r="D203" s="68"/>
      <c r="E203" s="68"/>
      <c r="F203" s="57"/>
    </row>
    <row r="204" ht="31.5" customHeight="1">
      <c r="A204" s="57"/>
      <c r="B204" s="67"/>
      <c r="C204" s="67"/>
      <c r="D204" s="68"/>
      <c r="E204" s="68"/>
      <c r="F204" s="57"/>
    </row>
    <row r="205" ht="31.5" customHeight="1">
      <c r="A205" s="57"/>
      <c r="B205" s="67"/>
      <c r="C205" s="67"/>
      <c r="D205" s="68"/>
      <c r="E205" s="68"/>
      <c r="F205" s="57"/>
    </row>
    <row r="206" ht="31.5" customHeight="1">
      <c r="A206" s="57"/>
      <c r="B206" s="67"/>
      <c r="C206" s="67"/>
      <c r="D206" s="68"/>
      <c r="E206" s="68"/>
      <c r="F206" s="57"/>
    </row>
    <row r="207" ht="31.5" customHeight="1">
      <c r="A207" s="57"/>
      <c r="B207" s="67"/>
      <c r="C207" s="67"/>
      <c r="D207" s="68"/>
      <c r="E207" s="68"/>
      <c r="F207" s="57"/>
    </row>
    <row r="208" ht="31.5" customHeight="1">
      <c r="A208" s="57"/>
      <c r="B208" s="67"/>
      <c r="C208" s="67"/>
      <c r="D208" s="68"/>
      <c r="E208" s="68"/>
      <c r="F208" s="57"/>
    </row>
    <row r="209" ht="31.5" customHeight="1">
      <c r="A209" s="57"/>
      <c r="B209" s="67"/>
      <c r="C209" s="67"/>
      <c r="D209" s="68"/>
      <c r="E209" s="68"/>
      <c r="F209" s="57"/>
    </row>
    <row r="210" ht="31.5" customHeight="1">
      <c r="A210" s="57"/>
      <c r="B210" s="67"/>
      <c r="C210" s="67"/>
      <c r="D210" s="68"/>
      <c r="E210" s="68"/>
      <c r="F210" s="57"/>
    </row>
    <row r="211" ht="31.5" customHeight="1">
      <c r="A211" s="57"/>
      <c r="B211" s="67"/>
      <c r="C211" s="67"/>
      <c r="D211" s="68"/>
      <c r="E211" s="68"/>
      <c r="F211" s="57"/>
    </row>
    <row r="212" ht="31.5" customHeight="1">
      <c r="A212" s="57"/>
      <c r="B212" s="67"/>
      <c r="C212" s="67"/>
      <c r="D212" s="68"/>
      <c r="E212" s="68"/>
      <c r="F212" s="57"/>
    </row>
    <row r="213" ht="31.5" customHeight="1">
      <c r="A213" s="57"/>
      <c r="B213" s="67"/>
      <c r="C213" s="67"/>
      <c r="D213" s="68"/>
      <c r="E213" s="68"/>
      <c r="F213" s="57"/>
    </row>
    <row r="214" ht="31.5" customHeight="1">
      <c r="A214" s="57"/>
      <c r="B214" s="67"/>
      <c r="C214" s="67"/>
      <c r="D214" s="68"/>
      <c r="E214" s="68"/>
      <c r="F214" s="57"/>
    </row>
    <row r="215" ht="31.5" customHeight="1">
      <c r="A215" s="65" t="s">
        <v>33</v>
      </c>
    </row>
    <row r="216">
      <c r="A216" s="57"/>
      <c r="B216" s="69"/>
      <c r="C216" s="69"/>
      <c r="D216" s="70"/>
      <c r="E216" s="70"/>
      <c r="F216" s="57"/>
    </row>
    <row r="217" ht="31.5" customHeight="1">
      <c r="A217" s="57"/>
      <c r="B217" s="58" t="s">
        <v>5</v>
      </c>
      <c r="D217" s="58" t="s">
        <v>6</v>
      </c>
      <c r="F217" s="57"/>
    </row>
    <row r="218" ht="15.75" customHeight="1">
      <c r="A218" s="57"/>
      <c r="B218" s="59" t="s">
        <v>8</v>
      </c>
      <c r="C218" s="60" t="str">
        <f>'Getting Started'!$G$10</f>
        <v/>
      </c>
      <c r="D218" s="59" t="s">
        <v>9</v>
      </c>
      <c r="E218" s="60" t="str">
        <f>'Getting Started'!$I$10</f>
        <v/>
      </c>
      <c r="F218" s="57"/>
    </row>
    <row r="219" ht="15.75" customHeight="1">
      <c r="A219" s="57"/>
      <c r="B219" s="59" t="s">
        <v>11</v>
      </c>
      <c r="C219" s="61" t="str">
        <f>'Getting Started'!$G$11</f>
        <v/>
      </c>
      <c r="D219" s="59" t="s">
        <v>12</v>
      </c>
      <c r="E219" s="60" t="str">
        <f>'Getting Started'!$I$11</f>
        <v/>
      </c>
      <c r="F219" s="57"/>
    </row>
    <row r="220" ht="31.5" customHeight="1">
      <c r="A220" s="57"/>
      <c r="B220" s="59" t="s">
        <v>13</v>
      </c>
      <c r="C220" s="60" t="str">
        <f>'Getting Started'!$G$12</f>
        <v/>
      </c>
      <c r="D220" s="59" t="s">
        <v>14</v>
      </c>
      <c r="E220" s="60" t="str">
        <f>'Getting Started'!$I$12</f>
        <v/>
      </c>
      <c r="F220" s="57"/>
    </row>
    <row r="221" ht="31.5" customHeight="1">
      <c r="A221" s="57"/>
      <c r="B221" s="59" t="s">
        <v>15</v>
      </c>
      <c r="C221" s="62" t="str">
        <f>'Getting Started'!$G$14</f>
        <v/>
      </c>
      <c r="D221" s="59" t="s">
        <v>16</v>
      </c>
      <c r="E221" s="60" t="str">
        <f>'Getting Started'!$I$14</f>
        <v/>
      </c>
      <c r="F221" s="57"/>
    </row>
    <row r="222" ht="31.5" customHeight="1">
      <c r="A222" s="57"/>
      <c r="B222" s="66" t="s">
        <v>46</v>
      </c>
      <c r="C222" s="66" t="s">
        <v>47</v>
      </c>
      <c r="D222" s="66" t="s">
        <v>48</v>
      </c>
      <c r="E222" s="66" t="s">
        <v>49</v>
      </c>
      <c r="F222" s="57"/>
    </row>
    <row r="223" ht="31.5" customHeight="1">
      <c r="A223" s="57"/>
      <c r="B223" s="67"/>
      <c r="C223" s="67"/>
      <c r="D223" s="68"/>
      <c r="E223" s="68"/>
      <c r="F223" s="57"/>
    </row>
    <row r="224" ht="31.5" customHeight="1">
      <c r="A224" s="57"/>
      <c r="B224" s="67"/>
      <c r="C224" s="67"/>
      <c r="D224" s="68"/>
      <c r="E224" s="68"/>
      <c r="F224" s="57"/>
    </row>
    <row r="225" ht="31.5" customHeight="1">
      <c r="A225" s="57"/>
      <c r="B225" s="67"/>
      <c r="C225" s="67"/>
      <c r="D225" s="68"/>
      <c r="E225" s="68"/>
      <c r="F225" s="57"/>
    </row>
    <row r="226" ht="31.5" customHeight="1">
      <c r="A226" s="57"/>
      <c r="B226" s="67"/>
      <c r="C226" s="67"/>
      <c r="D226" s="68"/>
      <c r="E226" s="68"/>
      <c r="F226" s="57"/>
    </row>
    <row r="227" ht="31.5" customHeight="1">
      <c r="A227" s="57"/>
      <c r="B227" s="67"/>
      <c r="C227" s="67"/>
      <c r="D227" s="68"/>
      <c r="E227" s="68"/>
      <c r="F227" s="57"/>
    </row>
    <row r="228" ht="31.5" customHeight="1">
      <c r="A228" s="57"/>
      <c r="B228" s="67"/>
      <c r="C228" s="67"/>
      <c r="D228" s="68"/>
      <c r="E228" s="68"/>
      <c r="F228" s="57"/>
    </row>
    <row r="229" ht="31.5" customHeight="1">
      <c r="A229" s="57"/>
      <c r="B229" s="67"/>
      <c r="C229" s="67"/>
      <c r="D229" s="68"/>
      <c r="E229" s="68"/>
      <c r="F229" s="57"/>
    </row>
    <row r="230" ht="31.5" customHeight="1">
      <c r="A230" s="57"/>
      <c r="B230" s="67"/>
      <c r="C230" s="67"/>
      <c r="D230" s="68"/>
      <c r="E230" s="68"/>
      <c r="F230" s="57"/>
    </row>
    <row r="231" ht="31.5" customHeight="1">
      <c r="A231" s="57"/>
      <c r="B231" s="67"/>
      <c r="C231" s="67"/>
      <c r="D231" s="68"/>
      <c r="E231" s="68"/>
      <c r="F231" s="57"/>
    </row>
    <row r="232" ht="31.5" customHeight="1">
      <c r="A232" s="57"/>
      <c r="B232" s="67"/>
      <c r="C232" s="67"/>
      <c r="D232" s="68"/>
      <c r="E232" s="68"/>
      <c r="F232" s="57"/>
    </row>
    <row r="233" ht="31.5" customHeight="1">
      <c r="A233" s="57"/>
      <c r="B233" s="67"/>
      <c r="C233" s="67"/>
      <c r="D233" s="68"/>
      <c r="E233" s="68"/>
      <c r="F233" s="57"/>
    </row>
    <row r="234" ht="31.5" customHeight="1">
      <c r="A234" s="57"/>
      <c r="B234" s="67"/>
      <c r="C234" s="67"/>
      <c r="D234" s="68"/>
      <c r="E234" s="68"/>
      <c r="F234" s="57"/>
    </row>
    <row r="235" ht="31.5" customHeight="1">
      <c r="A235" s="57"/>
      <c r="B235" s="67"/>
      <c r="C235" s="67"/>
      <c r="D235" s="68"/>
      <c r="E235" s="68"/>
      <c r="F235" s="57"/>
    </row>
    <row r="236" ht="31.5" customHeight="1">
      <c r="A236" s="57"/>
      <c r="B236" s="67"/>
      <c r="C236" s="67"/>
      <c r="D236" s="68"/>
      <c r="E236" s="68"/>
      <c r="F236" s="57"/>
    </row>
    <row r="237" ht="31.5" customHeight="1">
      <c r="A237" s="57"/>
      <c r="B237" s="67"/>
      <c r="C237" s="67"/>
      <c r="D237" s="68"/>
      <c r="E237" s="68"/>
      <c r="F237" s="57"/>
    </row>
    <row r="238" ht="31.5" customHeight="1">
      <c r="A238" s="57"/>
      <c r="B238" s="67"/>
      <c r="C238" s="67"/>
      <c r="D238" s="68"/>
      <c r="E238" s="68"/>
      <c r="F238" s="57"/>
    </row>
    <row r="239" ht="31.5" customHeight="1">
      <c r="A239" s="57"/>
      <c r="B239" s="67"/>
      <c r="C239" s="67"/>
      <c r="D239" s="68"/>
      <c r="E239" s="68"/>
      <c r="F239" s="57"/>
    </row>
    <row r="240" ht="31.5" customHeight="1">
      <c r="A240" s="57"/>
      <c r="B240" s="67"/>
      <c r="C240" s="67"/>
      <c r="D240" s="68"/>
      <c r="E240" s="68"/>
      <c r="F240" s="57"/>
    </row>
    <row r="241" ht="31.5" customHeight="1">
      <c r="A241" s="57"/>
      <c r="B241" s="67"/>
      <c r="C241" s="67"/>
      <c r="D241" s="68"/>
      <c r="E241" s="68"/>
      <c r="F241" s="57"/>
    </row>
    <row r="242" ht="31.5" customHeight="1">
      <c r="A242" s="65" t="s">
        <v>34</v>
      </c>
    </row>
    <row r="243">
      <c r="A243" s="57"/>
      <c r="B243" s="69"/>
      <c r="C243" s="69"/>
      <c r="D243" s="70"/>
      <c r="E243" s="70"/>
      <c r="F243" s="57"/>
    </row>
    <row r="244" ht="31.5" customHeight="1">
      <c r="A244" s="57"/>
      <c r="B244" s="58" t="s">
        <v>5</v>
      </c>
      <c r="D244" s="58" t="s">
        <v>6</v>
      </c>
      <c r="F244" s="57"/>
    </row>
    <row r="245" ht="15.75" customHeight="1">
      <c r="A245" s="57"/>
      <c r="B245" s="59" t="s">
        <v>8</v>
      </c>
      <c r="C245" s="60" t="str">
        <f>'Getting Started'!$G$10</f>
        <v/>
      </c>
      <c r="D245" s="59" t="s">
        <v>9</v>
      </c>
      <c r="E245" s="60" t="str">
        <f>'Getting Started'!$I$10</f>
        <v/>
      </c>
      <c r="F245" s="57"/>
    </row>
    <row r="246" ht="15.75" customHeight="1">
      <c r="A246" s="57"/>
      <c r="B246" s="59" t="s">
        <v>11</v>
      </c>
      <c r="C246" s="61" t="str">
        <f>'Getting Started'!$G$11</f>
        <v/>
      </c>
      <c r="D246" s="59" t="s">
        <v>12</v>
      </c>
      <c r="E246" s="60" t="str">
        <f>'Getting Started'!$I$11</f>
        <v/>
      </c>
      <c r="F246" s="57"/>
    </row>
    <row r="247" ht="31.5" customHeight="1">
      <c r="A247" s="57"/>
      <c r="B247" s="59" t="s">
        <v>13</v>
      </c>
      <c r="C247" s="60" t="str">
        <f>'Getting Started'!$G$12</f>
        <v/>
      </c>
      <c r="D247" s="59" t="s">
        <v>14</v>
      </c>
      <c r="E247" s="60" t="str">
        <f>'Getting Started'!$I$12</f>
        <v/>
      </c>
      <c r="F247" s="57"/>
    </row>
    <row r="248" ht="31.5" customHeight="1">
      <c r="A248" s="57"/>
      <c r="B248" s="59" t="s">
        <v>15</v>
      </c>
      <c r="C248" s="62" t="str">
        <f>'Getting Started'!$G$14</f>
        <v/>
      </c>
      <c r="D248" s="59" t="s">
        <v>16</v>
      </c>
      <c r="E248" s="60" t="str">
        <f>'Getting Started'!$I$14</f>
        <v/>
      </c>
      <c r="F248" s="57"/>
    </row>
    <row r="249" ht="31.5" customHeight="1">
      <c r="A249" s="57"/>
      <c r="B249" s="66" t="s">
        <v>46</v>
      </c>
      <c r="C249" s="66" t="s">
        <v>47</v>
      </c>
      <c r="D249" s="66" t="s">
        <v>48</v>
      </c>
      <c r="E249" s="66" t="s">
        <v>49</v>
      </c>
      <c r="F249" s="57"/>
    </row>
    <row r="250" ht="31.5" customHeight="1">
      <c r="A250" s="57"/>
      <c r="B250" s="67"/>
      <c r="C250" s="67"/>
      <c r="D250" s="68"/>
      <c r="E250" s="68"/>
      <c r="F250" s="57"/>
    </row>
    <row r="251" ht="31.5" customHeight="1">
      <c r="A251" s="57"/>
      <c r="B251" s="67"/>
      <c r="C251" s="67"/>
      <c r="D251" s="68"/>
      <c r="E251" s="68"/>
      <c r="F251" s="57"/>
    </row>
    <row r="252" ht="31.5" customHeight="1">
      <c r="A252" s="57"/>
      <c r="B252" s="67"/>
      <c r="C252" s="67"/>
      <c r="D252" s="68"/>
      <c r="E252" s="68"/>
      <c r="F252" s="57"/>
    </row>
    <row r="253" ht="31.5" customHeight="1">
      <c r="A253" s="57"/>
      <c r="B253" s="67"/>
      <c r="C253" s="67"/>
      <c r="D253" s="68"/>
      <c r="E253" s="68"/>
      <c r="F253" s="57"/>
    </row>
    <row r="254" ht="31.5" customHeight="1">
      <c r="A254" s="57"/>
      <c r="B254" s="67"/>
      <c r="C254" s="67"/>
      <c r="D254" s="68"/>
      <c r="E254" s="68"/>
      <c r="F254" s="57"/>
    </row>
    <row r="255" ht="31.5" customHeight="1">
      <c r="A255" s="57"/>
      <c r="B255" s="67"/>
      <c r="C255" s="67"/>
      <c r="D255" s="68"/>
      <c r="E255" s="68"/>
      <c r="F255" s="57"/>
    </row>
    <row r="256" ht="31.5" customHeight="1">
      <c r="A256" s="57"/>
      <c r="B256" s="67"/>
      <c r="C256" s="67"/>
      <c r="D256" s="68"/>
      <c r="E256" s="68"/>
      <c r="F256" s="57"/>
    </row>
    <row r="257" ht="31.5" customHeight="1">
      <c r="A257" s="57"/>
      <c r="B257" s="67"/>
      <c r="C257" s="67"/>
      <c r="D257" s="68"/>
      <c r="E257" s="68"/>
      <c r="F257" s="57"/>
    </row>
    <row r="258" ht="31.5" customHeight="1">
      <c r="A258" s="57"/>
      <c r="B258" s="67"/>
      <c r="C258" s="67"/>
      <c r="D258" s="68"/>
      <c r="E258" s="68"/>
      <c r="F258" s="57"/>
    </row>
    <row r="259" ht="31.5" customHeight="1">
      <c r="A259" s="57"/>
      <c r="B259" s="67"/>
      <c r="C259" s="67"/>
      <c r="D259" s="68"/>
      <c r="E259" s="68"/>
      <c r="F259" s="57"/>
    </row>
    <row r="260" ht="31.5" customHeight="1">
      <c r="A260" s="57"/>
      <c r="B260" s="67"/>
      <c r="C260" s="67"/>
      <c r="D260" s="68"/>
      <c r="E260" s="68"/>
      <c r="F260" s="57"/>
    </row>
    <row r="261" ht="31.5" customHeight="1">
      <c r="A261" s="57"/>
      <c r="B261" s="67"/>
      <c r="C261" s="67"/>
      <c r="D261" s="68"/>
      <c r="E261" s="68"/>
      <c r="F261" s="57"/>
    </row>
    <row r="262" ht="31.5" customHeight="1">
      <c r="A262" s="57"/>
      <c r="B262" s="67"/>
      <c r="C262" s="67"/>
      <c r="D262" s="68"/>
      <c r="E262" s="68"/>
      <c r="F262" s="57"/>
    </row>
    <row r="263" ht="31.5" customHeight="1">
      <c r="A263" s="57"/>
      <c r="B263" s="67"/>
      <c r="C263" s="67"/>
      <c r="D263" s="68"/>
      <c r="E263" s="68"/>
      <c r="F263" s="57"/>
    </row>
    <row r="264" ht="31.5" customHeight="1">
      <c r="A264" s="57"/>
      <c r="B264" s="67"/>
      <c r="C264" s="67"/>
      <c r="D264" s="68"/>
      <c r="E264" s="68"/>
      <c r="F264" s="57"/>
    </row>
    <row r="265" ht="31.5" customHeight="1">
      <c r="A265" s="57"/>
      <c r="B265" s="67"/>
      <c r="C265" s="67"/>
      <c r="D265" s="68"/>
      <c r="E265" s="68"/>
      <c r="F265" s="57"/>
    </row>
    <row r="266" ht="31.5" customHeight="1">
      <c r="A266" s="57"/>
      <c r="B266" s="67"/>
      <c r="C266" s="67"/>
      <c r="D266" s="68"/>
      <c r="E266" s="68"/>
      <c r="F266" s="57"/>
    </row>
    <row r="267" ht="31.5" customHeight="1">
      <c r="A267" s="57"/>
      <c r="B267" s="67"/>
      <c r="C267" s="67"/>
      <c r="D267" s="68"/>
      <c r="E267" s="68"/>
      <c r="F267" s="57"/>
    </row>
    <row r="268" ht="31.5" customHeight="1">
      <c r="A268" s="57"/>
      <c r="B268" s="67"/>
      <c r="C268" s="67"/>
      <c r="D268" s="68"/>
      <c r="E268" s="68"/>
      <c r="F268" s="57"/>
    </row>
    <row r="269" ht="31.5" customHeight="1">
      <c r="A269" s="65" t="s">
        <v>35</v>
      </c>
    </row>
    <row r="270">
      <c r="A270" s="57"/>
      <c r="B270" s="69"/>
      <c r="C270" s="69"/>
      <c r="D270" s="70"/>
      <c r="E270" s="70"/>
      <c r="F270" s="57"/>
    </row>
    <row r="271" ht="31.5" customHeight="1">
      <c r="A271" s="57"/>
      <c r="B271" s="58" t="s">
        <v>5</v>
      </c>
      <c r="D271" s="58" t="s">
        <v>6</v>
      </c>
      <c r="F271" s="57"/>
    </row>
    <row r="272" ht="15.75" customHeight="1">
      <c r="A272" s="57"/>
      <c r="B272" s="59" t="s">
        <v>8</v>
      </c>
      <c r="C272" s="60" t="str">
        <f>'Getting Started'!$G$10</f>
        <v/>
      </c>
      <c r="D272" s="59" t="s">
        <v>9</v>
      </c>
      <c r="E272" s="60" t="str">
        <f>'Getting Started'!$I$10</f>
        <v/>
      </c>
      <c r="F272" s="57"/>
    </row>
    <row r="273" ht="15.75" customHeight="1">
      <c r="A273" s="57"/>
      <c r="B273" s="59" t="s">
        <v>11</v>
      </c>
      <c r="C273" s="61" t="str">
        <f>'Getting Started'!$G$11</f>
        <v/>
      </c>
      <c r="D273" s="59" t="s">
        <v>12</v>
      </c>
      <c r="E273" s="60" t="str">
        <f>'Getting Started'!$I$11</f>
        <v/>
      </c>
      <c r="F273" s="57"/>
    </row>
    <row r="274" ht="31.5" customHeight="1">
      <c r="A274" s="57"/>
      <c r="B274" s="59" t="s">
        <v>13</v>
      </c>
      <c r="C274" s="60" t="str">
        <f>'Getting Started'!$G$12</f>
        <v/>
      </c>
      <c r="D274" s="59" t="s">
        <v>14</v>
      </c>
      <c r="E274" s="60" t="str">
        <f>'Getting Started'!$I$12</f>
        <v/>
      </c>
      <c r="F274" s="57"/>
    </row>
    <row r="275" ht="31.5" customHeight="1">
      <c r="A275" s="57"/>
      <c r="B275" s="59" t="s">
        <v>15</v>
      </c>
      <c r="C275" s="62" t="str">
        <f>'Getting Started'!$G$14</f>
        <v/>
      </c>
      <c r="D275" s="59" t="s">
        <v>16</v>
      </c>
      <c r="E275" s="60" t="str">
        <f>'Getting Started'!$I$14</f>
        <v/>
      </c>
      <c r="F275" s="57"/>
    </row>
    <row r="276" ht="31.5" customHeight="1">
      <c r="A276" s="57"/>
      <c r="B276" s="66" t="s">
        <v>46</v>
      </c>
      <c r="C276" s="66" t="s">
        <v>47</v>
      </c>
      <c r="D276" s="66" t="s">
        <v>48</v>
      </c>
      <c r="E276" s="66" t="s">
        <v>49</v>
      </c>
      <c r="F276" s="57"/>
    </row>
    <row r="277" ht="31.5" customHeight="1">
      <c r="A277" s="57"/>
      <c r="B277" s="67"/>
      <c r="C277" s="67"/>
      <c r="D277" s="68"/>
      <c r="E277" s="68"/>
      <c r="F277" s="57"/>
    </row>
    <row r="278" ht="31.5" customHeight="1">
      <c r="A278" s="57"/>
      <c r="B278" s="67"/>
      <c r="C278" s="67"/>
      <c r="D278" s="68"/>
      <c r="E278" s="68"/>
      <c r="F278" s="57"/>
    </row>
    <row r="279" ht="31.5" customHeight="1">
      <c r="A279" s="57"/>
      <c r="B279" s="67"/>
      <c r="C279" s="67"/>
      <c r="D279" s="68"/>
      <c r="E279" s="68"/>
      <c r="F279" s="57"/>
    </row>
    <row r="280" ht="31.5" customHeight="1">
      <c r="A280" s="57"/>
      <c r="B280" s="67"/>
      <c r="C280" s="67"/>
      <c r="D280" s="68"/>
      <c r="E280" s="68"/>
      <c r="F280" s="57"/>
    </row>
    <row r="281" ht="31.5" customHeight="1">
      <c r="A281" s="57"/>
      <c r="B281" s="67"/>
      <c r="C281" s="67"/>
      <c r="D281" s="68"/>
      <c r="E281" s="68"/>
      <c r="F281" s="57"/>
    </row>
    <row r="282" ht="31.5" customHeight="1">
      <c r="A282" s="57"/>
      <c r="B282" s="67"/>
      <c r="C282" s="67"/>
      <c r="D282" s="68"/>
      <c r="E282" s="68"/>
      <c r="F282" s="57"/>
    </row>
    <row r="283" ht="31.5" customHeight="1">
      <c r="A283" s="57"/>
      <c r="B283" s="67"/>
      <c r="C283" s="67"/>
      <c r="D283" s="68"/>
      <c r="E283" s="68"/>
      <c r="F283" s="57"/>
    </row>
    <row r="284" ht="31.5" customHeight="1">
      <c r="A284" s="57"/>
      <c r="B284" s="67"/>
      <c r="C284" s="67"/>
      <c r="D284" s="68"/>
      <c r="E284" s="68"/>
      <c r="F284" s="57"/>
    </row>
    <row r="285" ht="31.5" customHeight="1">
      <c r="A285" s="57"/>
      <c r="B285" s="67"/>
      <c r="C285" s="67"/>
      <c r="D285" s="68"/>
      <c r="E285" s="68"/>
      <c r="F285" s="57"/>
    </row>
    <row r="286" ht="31.5" customHeight="1">
      <c r="A286" s="57"/>
      <c r="B286" s="67"/>
      <c r="C286" s="67"/>
      <c r="D286" s="68"/>
      <c r="E286" s="68"/>
      <c r="F286" s="57"/>
    </row>
    <row r="287" ht="31.5" customHeight="1">
      <c r="A287" s="57"/>
      <c r="B287" s="67"/>
      <c r="C287" s="67"/>
      <c r="D287" s="68"/>
      <c r="E287" s="68"/>
      <c r="F287" s="57"/>
    </row>
    <row r="288" ht="31.5" customHeight="1">
      <c r="A288" s="57"/>
      <c r="B288" s="67"/>
      <c r="C288" s="67"/>
      <c r="D288" s="68"/>
      <c r="E288" s="68"/>
      <c r="F288" s="57"/>
    </row>
    <row r="289" ht="31.5" customHeight="1">
      <c r="A289" s="57"/>
      <c r="B289" s="67"/>
      <c r="C289" s="67"/>
      <c r="D289" s="68"/>
      <c r="E289" s="68"/>
      <c r="F289" s="57"/>
    </row>
    <row r="290" ht="31.5" customHeight="1">
      <c r="A290" s="57"/>
      <c r="B290" s="67"/>
      <c r="C290" s="67"/>
      <c r="D290" s="68"/>
      <c r="E290" s="68"/>
      <c r="F290" s="57"/>
    </row>
    <row r="291" ht="31.5" customHeight="1">
      <c r="A291" s="57"/>
      <c r="B291" s="67"/>
      <c r="C291" s="67"/>
      <c r="D291" s="68"/>
      <c r="E291" s="68"/>
      <c r="F291" s="57"/>
    </row>
    <row r="292" ht="31.5" customHeight="1">
      <c r="A292" s="57"/>
      <c r="B292" s="67"/>
      <c r="C292" s="67"/>
      <c r="D292" s="68"/>
      <c r="E292" s="68"/>
      <c r="F292" s="57"/>
    </row>
    <row r="293" ht="31.5" customHeight="1">
      <c r="A293" s="57"/>
      <c r="B293" s="67"/>
      <c r="C293" s="67"/>
      <c r="D293" s="68"/>
      <c r="E293" s="68"/>
      <c r="F293" s="57"/>
    </row>
    <row r="294" ht="31.5" customHeight="1">
      <c r="A294" s="57"/>
      <c r="B294" s="67"/>
      <c r="C294" s="67"/>
      <c r="D294" s="68"/>
      <c r="E294" s="68"/>
      <c r="F294" s="57"/>
    </row>
    <row r="295" ht="31.5" customHeight="1">
      <c r="A295" s="57"/>
      <c r="B295" s="67"/>
      <c r="C295" s="67"/>
      <c r="D295" s="68"/>
      <c r="E295" s="68"/>
      <c r="F295" s="57"/>
    </row>
    <row r="296" ht="31.5" customHeight="1">
      <c r="A296" s="65" t="s">
        <v>36</v>
      </c>
    </row>
    <row r="297">
      <c r="A297" s="57"/>
      <c r="B297" s="69"/>
      <c r="C297" s="69"/>
      <c r="D297" s="70"/>
      <c r="E297" s="70"/>
      <c r="F297" s="57"/>
    </row>
    <row r="298" ht="31.5" customHeight="1">
      <c r="A298" s="57"/>
      <c r="B298" s="58" t="s">
        <v>5</v>
      </c>
      <c r="D298" s="58" t="s">
        <v>6</v>
      </c>
      <c r="F298" s="57"/>
    </row>
    <row r="299" ht="15.75" customHeight="1">
      <c r="A299" s="57"/>
      <c r="B299" s="59" t="s">
        <v>8</v>
      </c>
      <c r="C299" s="60" t="str">
        <f>'Getting Started'!$G$10</f>
        <v/>
      </c>
      <c r="D299" s="59" t="s">
        <v>9</v>
      </c>
      <c r="E299" s="60" t="str">
        <f>'Getting Started'!$I$10</f>
        <v/>
      </c>
      <c r="F299" s="57"/>
    </row>
    <row r="300" ht="15.75" customHeight="1">
      <c r="A300" s="57"/>
      <c r="B300" s="59" t="s">
        <v>11</v>
      </c>
      <c r="C300" s="61" t="str">
        <f>'Getting Started'!$G$11</f>
        <v/>
      </c>
      <c r="D300" s="59" t="s">
        <v>12</v>
      </c>
      <c r="E300" s="60" t="str">
        <f>'Getting Started'!$I$11</f>
        <v/>
      </c>
      <c r="F300" s="57"/>
    </row>
    <row r="301" ht="31.5" customHeight="1">
      <c r="A301" s="57"/>
      <c r="B301" s="59" t="s">
        <v>13</v>
      </c>
      <c r="C301" s="60" t="str">
        <f>'Getting Started'!$G$12</f>
        <v/>
      </c>
      <c r="D301" s="59" t="s">
        <v>14</v>
      </c>
      <c r="E301" s="60" t="str">
        <f>'Getting Started'!$I$12</f>
        <v/>
      </c>
      <c r="F301" s="57"/>
    </row>
    <row r="302" ht="31.5" customHeight="1">
      <c r="A302" s="57"/>
      <c r="B302" s="59" t="s">
        <v>15</v>
      </c>
      <c r="C302" s="62" t="str">
        <f>'Getting Started'!$G$14</f>
        <v/>
      </c>
      <c r="D302" s="59" t="s">
        <v>16</v>
      </c>
      <c r="E302" s="60" t="str">
        <f>'Getting Started'!$I$14</f>
        <v/>
      </c>
      <c r="F302" s="57"/>
    </row>
    <row r="303" ht="31.5" customHeight="1">
      <c r="A303" s="57"/>
      <c r="B303" s="66" t="s">
        <v>46</v>
      </c>
      <c r="C303" s="66" t="s">
        <v>47</v>
      </c>
      <c r="D303" s="66" t="s">
        <v>48</v>
      </c>
      <c r="E303" s="66" t="s">
        <v>49</v>
      </c>
      <c r="F303" s="57"/>
    </row>
    <row r="304" ht="31.5" customHeight="1">
      <c r="A304" s="57"/>
      <c r="B304" s="67"/>
      <c r="C304" s="67"/>
      <c r="D304" s="68"/>
      <c r="E304" s="68"/>
      <c r="F304" s="57"/>
    </row>
    <row r="305" ht="31.5" customHeight="1">
      <c r="A305" s="57"/>
      <c r="B305" s="67"/>
      <c r="C305" s="67"/>
      <c r="D305" s="68"/>
      <c r="E305" s="68"/>
      <c r="F305" s="57"/>
    </row>
    <row r="306" ht="31.5" customHeight="1">
      <c r="A306" s="57"/>
      <c r="B306" s="67"/>
      <c r="C306" s="67"/>
      <c r="D306" s="68"/>
      <c r="E306" s="68"/>
      <c r="F306" s="57"/>
    </row>
    <row r="307" ht="31.5" customHeight="1">
      <c r="A307" s="57"/>
      <c r="B307" s="67"/>
      <c r="C307" s="67"/>
      <c r="D307" s="68"/>
      <c r="E307" s="68"/>
      <c r="F307" s="57"/>
    </row>
    <row r="308" ht="31.5" customHeight="1">
      <c r="A308" s="57"/>
      <c r="B308" s="67"/>
      <c r="C308" s="67"/>
      <c r="D308" s="68"/>
      <c r="E308" s="68"/>
      <c r="F308" s="57"/>
    </row>
    <row r="309" ht="31.5" customHeight="1">
      <c r="A309" s="57"/>
      <c r="B309" s="67"/>
      <c r="C309" s="67"/>
      <c r="D309" s="68"/>
      <c r="E309" s="68"/>
      <c r="F309" s="57"/>
    </row>
    <row r="310" ht="31.5" customHeight="1">
      <c r="A310" s="57"/>
      <c r="B310" s="67"/>
      <c r="C310" s="67"/>
      <c r="D310" s="68"/>
      <c r="E310" s="68"/>
      <c r="F310" s="57"/>
    </row>
    <row r="311" ht="31.5" customHeight="1">
      <c r="A311" s="57"/>
      <c r="B311" s="67"/>
      <c r="C311" s="67"/>
      <c r="D311" s="68"/>
      <c r="E311" s="68"/>
      <c r="F311" s="57"/>
    </row>
    <row r="312" ht="31.5" customHeight="1">
      <c r="A312" s="57"/>
      <c r="B312" s="67"/>
      <c r="C312" s="67"/>
      <c r="D312" s="68"/>
      <c r="E312" s="68"/>
      <c r="F312" s="57"/>
    </row>
    <row r="313" ht="31.5" customHeight="1">
      <c r="A313" s="57"/>
      <c r="B313" s="67"/>
      <c r="C313" s="67"/>
      <c r="D313" s="68"/>
      <c r="E313" s="68"/>
      <c r="F313" s="57"/>
    </row>
    <row r="314" ht="31.5" customHeight="1">
      <c r="A314" s="57"/>
      <c r="B314" s="67"/>
      <c r="C314" s="67"/>
      <c r="D314" s="68"/>
      <c r="E314" s="68"/>
      <c r="F314" s="57"/>
    </row>
    <row r="315" ht="31.5" customHeight="1">
      <c r="A315" s="57"/>
      <c r="B315" s="67"/>
      <c r="C315" s="67"/>
      <c r="D315" s="68"/>
      <c r="E315" s="68"/>
      <c r="F315" s="57"/>
    </row>
    <row r="316" ht="31.5" customHeight="1">
      <c r="A316" s="57"/>
      <c r="B316" s="67"/>
      <c r="C316" s="67"/>
      <c r="D316" s="68"/>
      <c r="E316" s="68"/>
      <c r="F316" s="57"/>
    </row>
    <row r="317" ht="31.5" customHeight="1">
      <c r="A317" s="57"/>
      <c r="B317" s="67"/>
      <c r="C317" s="67"/>
      <c r="D317" s="68"/>
      <c r="E317" s="68"/>
      <c r="F317" s="57"/>
    </row>
    <row r="318" ht="31.5" customHeight="1">
      <c r="A318" s="57"/>
      <c r="B318" s="67"/>
      <c r="C318" s="67"/>
      <c r="D318" s="68"/>
      <c r="E318" s="68"/>
      <c r="F318" s="57"/>
    </row>
    <row r="319" ht="31.5" customHeight="1">
      <c r="A319" s="57"/>
      <c r="B319" s="67"/>
      <c r="C319" s="67"/>
      <c r="D319" s="68"/>
      <c r="E319" s="68"/>
      <c r="F319" s="57"/>
    </row>
    <row r="320" ht="31.5" customHeight="1">
      <c r="A320" s="57"/>
      <c r="B320" s="67"/>
      <c r="C320" s="67"/>
      <c r="D320" s="68"/>
      <c r="E320" s="68"/>
      <c r="F320" s="57"/>
    </row>
    <row r="321" ht="31.5" customHeight="1">
      <c r="A321" s="57"/>
      <c r="B321" s="67"/>
      <c r="C321" s="67"/>
      <c r="D321" s="68"/>
      <c r="E321" s="68"/>
      <c r="F321" s="57"/>
    </row>
    <row r="322" ht="31.5" customHeight="1">
      <c r="A322" s="57"/>
      <c r="B322" s="67"/>
      <c r="C322" s="67"/>
      <c r="D322" s="68"/>
      <c r="E322" s="68"/>
      <c r="F322" s="57"/>
    </row>
    <row r="323" ht="31.5" customHeight="1">
      <c r="A323" s="65" t="s">
        <v>37</v>
      </c>
    </row>
    <row r="324">
      <c r="A324" s="57"/>
      <c r="B324" s="69"/>
      <c r="C324" s="69"/>
      <c r="D324" s="70"/>
      <c r="E324" s="70"/>
      <c r="F324" s="57"/>
    </row>
    <row r="325" ht="31.5" customHeight="1">
      <c r="A325" s="57"/>
      <c r="B325" s="58" t="s">
        <v>5</v>
      </c>
      <c r="D325" s="58" t="s">
        <v>6</v>
      </c>
      <c r="F325" s="57"/>
    </row>
    <row r="326" ht="15.75" customHeight="1">
      <c r="A326" s="57"/>
      <c r="B326" s="59" t="s">
        <v>8</v>
      </c>
      <c r="C326" s="60" t="str">
        <f>'Getting Started'!$G$10</f>
        <v/>
      </c>
      <c r="D326" s="59" t="s">
        <v>9</v>
      </c>
      <c r="E326" s="60" t="str">
        <f>'Getting Started'!$I$10</f>
        <v/>
      </c>
      <c r="F326" s="57"/>
    </row>
    <row r="327" ht="15.75" customHeight="1">
      <c r="A327" s="57"/>
      <c r="B327" s="59" t="s">
        <v>11</v>
      </c>
      <c r="C327" s="61" t="str">
        <f>'Getting Started'!$G$11</f>
        <v/>
      </c>
      <c r="D327" s="59" t="s">
        <v>12</v>
      </c>
      <c r="E327" s="60" t="str">
        <f>'Getting Started'!$I$11</f>
        <v/>
      </c>
      <c r="F327" s="57"/>
    </row>
    <row r="328" ht="31.5" customHeight="1">
      <c r="A328" s="57"/>
      <c r="B328" s="59" t="s">
        <v>13</v>
      </c>
      <c r="C328" s="60" t="str">
        <f>'Getting Started'!$G$12</f>
        <v/>
      </c>
      <c r="D328" s="59" t="s">
        <v>14</v>
      </c>
      <c r="E328" s="60" t="str">
        <f>'Getting Started'!$I$12</f>
        <v/>
      </c>
      <c r="F328" s="57"/>
    </row>
    <row r="329" ht="31.5" customHeight="1">
      <c r="A329" s="57"/>
      <c r="B329" s="59" t="s">
        <v>15</v>
      </c>
      <c r="C329" s="62" t="str">
        <f>'Getting Started'!$G$14</f>
        <v/>
      </c>
      <c r="D329" s="59" t="s">
        <v>16</v>
      </c>
      <c r="E329" s="60" t="str">
        <f>'Getting Started'!$I$14</f>
        <v/>
      </c>
      <c r="F329" s="57"/>
    </row>
    <row r="330" ht="31.5" customHeight="1">
      <c r="A330" s="57"/>
      <c r="B330" s="66" t="s">
        <v>46</v>
      </c>
      <c r="C330" s="66" t="s">
        <v>47</v>
      </c>
      <c r="D330" s="66" t="s">
        <v>48</v>
      </c>
      <c r="E330" s="66" t="s">
        <v>49</v>
      </c>
      <c r="F330" s="57"/>
    </row>
    <row r="331" ht="31.5" customHeight="1">
      <c r="A331" s="57"/>
      <c r="B331" s="67"/>
      <c r="C331" s="67"/>
      <c r="D331" s="68"/>
      <c r="E331" s="68"/>
      <c r="F331" s="57"/>
    </row>
    <row r="332" ht="31.5" customHeight="1">
      <c r="A332" s="57"/>
      <c r="B332" s="67"/>
      <c r="C332" s="67"/>
      <c r="D332" s="68"/>
      <c r="E332" s="68"/>
      <c r="F332" s="57"/>
    </row>
    <row r="333" ht="31.5" customHeight="1">
      <c r="A333" s="57"/>
      <c r="B333" s="67"/>
      <c r="C333" s="67"/>
      <c r="D333" s="68"/>
      <c r="E333" s="68"/>
      <c r="F333" s="57"/>
    </row>
    <row r="334" ht="31.5" customHeight="1">
      <c r="A334" s="57"/>
      <c r="B334" s="67"/>
      <c r="C334" s="67"/>
      <c r="D334" s="68"/>
      <c r="E334" s="68"/>
      <c r="F334" s="57"/>
    </row>
    <row r="335" ht="31.5" customHeight="1">
      <c r="A335" s="57"/>
      <c r="B335" s="67"/>
      <c r="C335" s="67"/>
      <c r="D335" s="68"/>
      <c r="E335" s="68"/>
      <c r="F335" s="57"/>
    </row>
    <row r="336" ht="31.5" customHeight="1">
      <c r="A336" s="57"/>
      <c r="B336" s="67"/>
      <c r="C336" s="67"/>
      <c r="D336" s="68"/>
      <c r="E336" s="68"/>
      <c r="F336" s="57"/>
    </row>
    <row r="337" ht="31.5" customHeight="1">
      <c r="A337" s="57"/>
      <c r="B337" s="67"/>
      <c r="C337" s="67"/>
      <c r="D337" s="68"/>
      <c r="E337" s="68"/>
      <c r="F337" s="57"/>
    </row>
    <row r="338" ht="31.5" customHeight="1">
      <c r="A338" s="57"/>
      <c r="B338" s="67"/>
      <c r="C338" s="67"/>
      <c r="D338" s="68"/>
      <c r="E338" s="68"/>
      <c r="F338" s="57"/>
    </row>
    <row r="339" ht="31.5" customHeight="1">
      <c r="A339" s="57"/>
      <c r="B339" s="67"/>
      <c r="C339" s="67"/>
      <c r="D339" s="68"/>
      <c r="E339" s="68"/>
      <c r="F339" s="57"/>
    </row>
    <row r="340" ht="31.5" customHeight="1">
      <c r="A340" s="57"/>
      <c r="B340" s="67"/>
      <c r="C340" s="67"/>
      <c r="D340" s="68"/>
      <c r="E340" s="68"/>
      <c r="F340" s="57"/>
    </row>
    <row r="341" ht="31.5" customHeight="1">
      <c r="A341" s="57"/>
      <c r="B341" s="67"/>
      <c r="C341" s="67"/>
      <c r="D341" s="68"/>
      <c r="E341" s="68"/>
      <c r="F341" s="57"/>
    </row>
    <row r="342" ht="31.5" customHeight="1">
      <c r="A342" s="57"/>
      <c r="B342" s="67"/>
      <c r="C342" s="67"/>
      <c r="D342" s="68"/>
      <c r="E342" s="68"/>
      <c r="F342" s="57"/>
    </row>
    <row r="343" ht="31.5" customHeight="1">
      <c r="A343" s="57"/>
      <c r="B343" s="67"/>
      <c r="C343" s="67"/>
      <c r="D343" s="68"/>
      <c r="E343" s="68"/>
      <c r="F343" s="57"/>
    </row>
    <row r="344" ht="31.5" customHeight="1">
      <c r="A344" s="57"/>
      <c r="B344" s="67"/>
      <c r="C344" s="67"/>
      <c r="D344" s="68"/>
      <c r="E344" s="68"/>
      <c r="F344" s="57"/>
    </row>
    <row r="345" ht="31.5" customHeight="1">
      <c r="A345" s="57"/>
      <c r="B345" s="67"/>
      <c r="C345" s="67"/>
      <c r="D345" s="68"/>
      <c r="E345" s="68"/>
      <c r="F345" s="57"/>
    </row>
    <row r="346" ht="31.5" customHeight="1">
      <c r="A346" s="57"/>
      <c r="B346" s="67"/>
      <c r="C346" s="67"/>
      <c r="D346" s="68"/>
      <c r="E346" s="68"/>
      <c r="F346" s="57"/>
    </row>
    <row r="347" ht="31.5" customHeight="1">
      <c r="A347" s="57"/>
      <c r="B347" s="67"/>
      <c r="C347" s="67"/>
      <c r="D347" s="68"/>
      <c r="E347" s="68"/>
      <c r="F347" s="57"/>
    </row>
    <row r="348" ht="31.5" customHeight="1">
      <c r="A348" s="57"/>
      <c r="B348" s="67"/>
      <c r="C348" s="67"/>
      <c r="D348" s="68"/>
      <c r="E348" s="68"/>
      <c r="F348" s="57"/>
    </row>
    <row r="349" ht="31.5" customHeight="1">
      <c r="A349" s="57"/>
      <c r="B349" s="67"/>
      <c r="C349" s="67"/>
      <c r="D349" s="68"/>
      <c r="E349" s="68"/>
      <c r="F349" s="57"/>
    </row>
    <row r="350" ht="31.5" customHeight="1">
      <c r="A350" s="65" t="s">
        <v>38</v>
      </c>
    </row>
    <row r="351">
      <c r="A351" s="57"/>
      <c r="B351" s="69"/>
      <c r="C351" s="69"/>
      <c r="D351" s="70"/>
      <c r="E351" s="70"/>
      <c r="F351" s="57"/>
    </row>
    <row r="352" ht="31.5" customHeight="1">
      <c r="A352" s="57"/>
      <c r="B352" s="58" t="s">
        <v>5</v>
      </c>
      <c r="D352" s="58" t="s">
        <v>6</v>
      </c>
      <c r="F352" s="57"/>
    </row>
    <row r="353" ht="15.75" customHeight="1">
      <c r="A353" s="57"/>
      <c r="B353" s="59" t="s">
        <v>8</v>
      </c>
      <c r="C353" s="60" t="str">
        <f>'Getting Started'!$G$10</f>
        <v/>
      </c>
      <c r="D353" s="59" t="s">
        <v>9</v>
      </c>
      <c r="E353" s="60" t="str">
        <f>'Getting Started'!$I$10</f>
        <v/>
      </c>
      <c r="F353" s="57"/>
    </row>
    <row r="354" ht="15.75" customHeight="1">
      <c r="A354" s="57"/>
      <c r="B354" s="59" t="s">
        <v>11</v>
      </c>
      <c r="C354" s="61" t="str">
        <f>'Getting Started'!$G$11</f>
        <v/>
      </c>
      <c r="D354" s="59" t="s">
        <v>12</v>
      </c>
      <c r="E354" s="60" t="str">
        <f>'Getting Started'!$I$11</f>
        <v/>
      </c>
      <c r="F354" s="57"/>
    </row>
    <row r="355" ht="31.5" customHeight="1">
      <c r="A355" s="57"/>
      <c r="B355" s="59" t="s">
        <v>13</v>
      </c>
      <c r="C355" s="60" t="str">
        <f>'Getting Started'!$G$12</f>
        <v/>
      </c>
      <c r="D355" s="59" t="s">
        <v>14</v>
      </c>
      <c r="E355" s="60" t="str">
        <f>'Getting Started'!$I$12</f>
        <v/>
      </c>
      <c r="F355" s="57"/>
    </row>
    <row r="356" ht="31.5" customHeight="1">
      <c r="A356" s="57"/>
      <c r="B356" s="59" t="s">
        <v>15</v>
      </c>
      <c r="C356" s="62" t="str">
        <f>'Getting Started'!$G$14</f>
        <v/>
      </c>
      <c r="D356" s="59" t="s">
        <v>16</v>
      </c>
      <c r="E356" s="60" t="str">
        <f>'Getting Started'!$I$14</f>
        <v/>
      </c>
      <c r="F356" s="57"/>
    </row>
    <row r="357" ht="31.5" customHeight="1">
      <c r="A357" s="57"/>
      <c r="B357" s="66" t="s">
        <v>46</v>
      </c>
      <c r="C357" s="66" t="s">
        <v>47</v>
      </c>
      <c r="D357" s="66" t="s">
        <v>48</v>
      </c>
      <c r="E357" s="66" t="s">
        <v>49</v>
      </c>
      <c r="F357" s="57"/>
    </row>
    <row r="358" ht="31.5" customHeight="1">
      <c r="A358" s="57"/>
      <c r="B358" s="67"/>
      <c r="C358" s="67"/>
      <c r="D358" s="68"/>
      <c r="E358" s="68"/>
      <c r="F358" s="57"/>
    </row>
    <row r="359" ht="31.5" customHeight="1">
      <c r="A359" s="57"/>
      <c r="B359" s="67"/>
      <c r="C359" s="67"/>
      <c r="D359" s="68"/>
      <c r="E359" s="68"/>
      <c r="F359" s="57"/>
    </row>
    <row r="360" ht="31.5" customHeight="1">
      <c r="A360" s="57"/>
      <c r="B360" s="67"/>
      <c r="C360" s="67"/>
      <c r="D360" s="68"/>
      <c r="E360" s="68"/>
      <c r="F360" s="57"/>
    </row>
    <row r="361" ht="31.5" customHeight="1">
      <c r="A361" s="57"/>
      <c r="B361" s="67"/>
      <c r="C361" s="67"/>
      <c r="D361" s="68"/>
      <c r="E361" s="68"/>
      <c r="F361" s="57"/>
    </row>
    <row r="362" ht="31.5" customHeight="1">
      <c r="A362" s="57"/>
      <c r="B362" s="67"/>
      <c r="C362" s="67"/>
      <c r="D362" s="68"/>
      <c r="E362" s="68"/>
      <c r="F362" s="57"/>
    </row>
    <row r="363" ht="31.5" customHeight="1">
      <c r="A363" s="57"/>
      <c r="B363" s="67"/>
      <c r="C363" s="67"/>
      <c r="D363" s="68"/>
      <c r="E363" s="68"/>
      <c r="F363" s="57"/>
    </row>
    <row r="364" ht="31.5" customHeight="1">
      <c r="A364" s="57"/>
      <c r="B364" s="67"/>
      <c r="C364" s="67"/>
      <c r="D364" s="68"/>
      <c r="E364" s="68"/>
      <c r="F364" s="57"/>
    </row>
    <row r="365" ht="31.5" customHeight="1">
      <c r="A365" s="57"/>
      <c r="B365" s="67"/>
      <c r="C365" s="67"/>
      <c r="D365" s="68"/>
      <c r="E365" s="68"/>
      <c r="F365" s="57"/>
    </row>
    <row r="366" ht="31.5" customHeight="1">
      <c r="A366" s="57"/>
      <c r="B366" s="67"/>
      <c r="C366" s="67"/>
      <c r="D366" s="68"/>
      <c r="E366" s="68"/>
      <c r="F366" s="57"/>
    </row>
    <row r="367" ht="31.5" customHeight="1">
      <c r="A367" s="57"/>
      <c r="B367" s="67"/>
      <c r="C367" s="67"/>
      <c r="D367" s="68"/>
      <c r="E367" s="68"/>
      <c r="F367" s="57"/>
    </row>
    <row r="368" ht="31.5" customHeight="1">
      <c r="A368" s="57"/>
      <c r="B368" s="67"/>
      <c r="C368" s="67"/>
      <c r="D368" s="68"/>
      <c r="E368" s="68"/>
      <c r="F368" s="57"/>
    </row>
    <row r="369" ht="31.5" customHeight="1">
      <c r="A369" s="57"/>
      <c r="B369" s="67"/>
      <c r="C369" s="67"/>
      <c r="D369" s="68"/>
      <c r="E369" s="68"/>
      <c r="F369" s="57"/>
    </row>
    <row r="370" ht="31.5" customHeight="1">
      <c r="A370" s="57"/>
      <c r="B370" s="67"/>
      <c r="C370" s="67"/>
      <c r="D370" s="68"/>
      <c r="E370" s="68"/>
      <c r="F370" s="57"/>
    </row>
    <row r="371" ht="31.5" customHeight="1">
      <c r="A371" s="57"/>
      <c r="B371" s="67"/>
      <c r="C371" s="67"/>
      <c r="D371" s="68"/>
      <c r="E371" s="68"/>
      <c r="F371" s="57"/>
    </row>
    <row r="372" ht="31.5" customHeight="1">
      <c r="A372" s="57"/>
      <c r="B372" s="67"/>
      <c r="C372" s="67"/>
      <c r="D372" s="68"/>
      <c r="E372" s="68"/>
      <c r="F372" s="57"/>
    </row>
    <row r="373" ht="31.5" customHeight="1">
      <c r="A373" s="57"/>
      <c r="B373" s="67"/>
      <c r="C373" s="67"/>
      <c r="D373" s="68"/>
      <c r="E373" s="68"/>
      <c r="F373" s="57"/>
    </row>
    <row r="374" ht="31.5" customHeight="1">
      <c r="A374" s="57"/>
      <c r="B374" s="67"/>
      <c r="C374" s="67"/>
      <c r="D374" s="68"/>
      <c r="E374" s="68"/>
      <c r="F374" s="57"/>
    </row>
    <row r="375" ht="31.5" customHeight="1">
      <c r="A375" s="57"/>
      <c r="B375" s="67"/>
      <c r="C375" s="67"/>
      <c r="D375" s="68"/>
      <c r="E375" s="68"/>
      <c r="F375" s="57"/>
    </row>
    <row r="376" ht="31.5" customHeight="1">
      <c r="A376" s="57"/>
      <c r="B376" s="67"/>
      <c r="C376" s="67"/>
      <c r="D376" s="68"/>
      <c r="E376" s="68"/>
      <c r="F376" s="57"/>
    </row>
    <row r="377" ht="31.5" customHeight="1">
      <c r="A377" s="65" t="s">
        <v>39</v>
      </c>
    </row>
    <row r="378">
      <c r="A378" s="57"/>
      <c r="B378" s="69"/>
      <c r="C378" s="69"/>
      <c r="D378" s="70"/>
      <c r="E378" s="70"/>
      <c r="F378" s="57"/>
    </row>
    <row r="379" ht="31.5" customHeight="1">
      <c r="A379" s="57"/>
      <c r="B379" s="58" t="s">
        <v>5</v>
      </c>
      <c r="D379" s="58" t="s">
        <v>6</v>
      </c>
      <c r="F379" s="57"/>
    </row>
    <row r="380" ht="15.75" customHeight="1">
      <c r="A380" s="57"/>
      <c r="B380" s="59" t="s">
        <v>8</v>
      </c>
      <c r="C380" s="60" t="str">
        <f>'Getting Started'!$G$10</f>
        <v/>
      </c>
      <c r="D380" s="59" t="s">
        <v>9</v>
      </c>
      <c r="E380" s="60" t="str">
        <f>'Getting Started'!$I$10</f>
        <v/>
      </c>
      <c r="F380" s="57"/>
    </row>
    <row r="381" ht="15.75" customHeight="1">
      <c r="A381" s="57"/>
      <c r="B381" s="59" t="s">
        <v>11</v>
      </c>
      <c r="C381" s="61" t="str">
        <f>'Getting Started'!$G$11</f>
        <v/>
      </c>
      <c r="D381" s="59" t="s">
        <v>12</v>
      </c>
      <c r="E381" s="60" t="str">
        <f>'Getting Started'!$I$11</f>
        <v/>
      </c>
      <c r="F381" s="57"/>
    </row>
    <row r="382" ht="31.5" customHeight="1">
      <c r="A382" s="57"/>
      <c r="B382" s="59" t="s">
        <v>13</v>
      </c>
      <c r="C382" s="60" t="str">
        <f>'Getting Started'!$G$12</f>
        <v/>
      </c>
      <c r="D382" s="59" t="s">
        <v>14</v>
      </c>
      <c r="E382" s="60" t="str">
        <f>'Getting Started'!$I$12</f>
        <v/>
      </c>
      <c r="F382" s="57"/>
    </row>
    <row r="383" ht="31.5" customHeight="1">
      <c r="A383" s="57"/>
      <c r="B383" s="59" t="s">
        <v>15</v>
      </c>
      <c r="C383" s="62" t="str">
        <f>'Getting Started'!$G$14</f>
        <v/>
      </c>
      <c r="D383" s="59" t="s">
        <v>16</v>
      </c>
      <c r="E383" s="60" t="str">
        <f>'Getting Started'!$I$14</f>
        <v/>
      </c>
      <c r="F383" s="57"/>
    </row>
    <row r="384" ht="31.5" customHeight="1">
      <c r="A384" s="57"/>
      <c r="B384" s="66" t="s">
        <v>46</v>
      </c>
      <c r="C384" s="66" t="s">
        <v>47</v>
      </c>
      <c r="D384" s="66" t="s">
        <v>48</v>
      </c>
      <c r="E384" s="66" t="s">
        <v>49</v>
      </c>
      <c r="F384" s="57"/>
    </row>
    <row r="385" ht="31.5" customHeight="1">
      <c r="A385" s="57"/>
      <c r="B385" s="67"/>
      <c r="C385" s="67"/>
      <c r="D385" s="68"/>
      <c r="E385" s="68"/>
      <c r="F385" s="57"/>
    </row>
    <row r="386" ht="31.5" customHeight="1">
      <c r="A386" s="57"/>
      <c r="B386" s="67"/>
      <c r="C386" s="67"/>
      <c r="D386" s="68"/>
      <c r="E386" s="68"/>
      <c r="F386" s="57"/>
    </row>
    <row r="387" ht="31.5" customHeight="1">
      <c r="A387" s="57"/>
      <c r="B387" s="67"/>
      <c r="C387" s="67"/>
      <c r="D387" s="68"/>
      <c r="E387" s="68"/>
      <c r="F387" s="57"/>
    </row>
    <row r="388" ht="31.5" customHeight="1">
      <c r="A388" s="57"/>
      <c r="B388" s="67"/>
      <c r="C388" s="67"/>
      <c r="D388" s="68"/>
      <c r="E388" s="68"/>
      <c r="F388" s="57"/>
    </row>
    <row r="389" ht="31.5" customHeight="1">
      <c r="A389" s="57"/>
      <c r="B389" s="67"/>
      <c r="C389" s="67"/>
      <c r="D389" s="68"/>
      <c r="E389" s="68"/>
      <c r="F389" s="57"/>
    </row>
    <row r="390" ht="31.5" customHeight="1">
      <c r="A390" s="57"/>
      <c r="B390" s="67"/>
      <c r="C390" s="67"/>
      <c r="D390" s="68"/>
      <c r="E390" s="68"/>
      <c r="F390" s="57"/>
    </row>
    <row r="391" ht="31.5" customHeight="1">
      <c r="A391" s="57"/>
      <c r="B391" s="67"/>
      <c r="C391" s="67"/>
      <c r="D391" s="68"/>
      <c r="E391" s="68"/>
      <c r="F391" s="57"/>
    </row>
    <row r="392" ht="31.5" customHeight="1">
      <c r="A392" s="57"/>
      <c r="B392" s="67"/>
      <c r="C392" s="67"/>
      <c r="D392" s="68"/>
      <c r="E392" s="68"/>
      <c r="F392" s="57"/>
    </row>
    <row r="393" ht="31.5" customHeight="1">
      <c r="A393" s="57"/>
      <c r="B393" s="67"/>
      <c r="C393" s="67"/>
      <c r="D393" s="68"/>
      <c r="E393" s="68"/>
      <c r="F393" s="57"/>
    </row>
    <row r="394" ht="31.5" customHeight="1">
      <c r="A394" s="57"/>
      <c r="B394" s="67"/>
      <c r="C394" s="67"/>
      <c r="D394" s="68"/>
      <c r="E394" s="68"/>
      <c r="F394" s="57"/>
    </row>
    <row r="395" ht="31.5" customHeight="1">
      <c r="A395" s="57"/>
      <c r="B395" s="67"/>
      <c r="C395" s="67"/>
      <c r="D395" s="68"/>
      <c r="E395" s="68"/>
      <c r="F395" s="57"/>
    </row>
    <row r="396" ht="31.5" customHeight="1">
      <c r="A396" s="57"/>
      <c r="B396" s="67"/>
      <c r="C396" s="67"/>
      <c r="D396" s="68"/>
      <c r="E396" s="68"/>
      <c r="F396" s="57"/>
    </row>
    <row r="397" ht="31.5" customHeight="1">
      <c r="A397" s="57"/>
      <c r="B397" s="67"/>
      <c r="C397" s="67"/>
      <c r="D397" s="68"/>
      <c r="E397" s="68"/>
      <c r="F397" s="57"/>
    </row>
    <row r="398" ht="31.5" customHeight="1">
      <c r="A398" s="57"/>
      <c r="B398" s="67"/>
      <c r="C398" s="67"/>
      <c r="D398" s="68"/>
      <c r="E398" s="68"/>
      <c r="F398" s="57"/>
    </row>
    <row r="399" ht="31.5" customHeight="1">
      <c r="A399" s="57"/>
      <c r="B399" s="67"/>
      <c r="C399" s="67"/>
      <c r="D399" s="68"/>
      <c r="E399" s="68"/>
      <c r="F399" s="57"/>
    </row>
    <row r="400" ht="31.5" customHeight="1">
      <c r="A400" s="57"/>
      <c r="B400" s="67"/>
      <c r="C400" s="67"/>
      <c r="D400" s="68"/>
      <c r="E400" s="68"/>
      <c r="F400" s="57"/>
    </row>
    <row r="401" ht="31.5" customHeight="1">
      <c r="A401" s="57"/>
      <c r="B401" s="67"/>
      <c r="C401" s="67"/>
      <c r="D401" s="68"/>
      <c r="E401" s="68"/>
      <c r="F401" s="57"/>
    </row>
    <row r="402" ht="31.5" customHeight="1">
      <c r="A402" s="57"/>
      <c r="B402" s="67"/>
      <c r="C402" s="67"/>
      <c r="D402" s="68"/>
      <c r="E402" s="68"/>
      <c r="F402" s="57"/>
    </row>
    <row r="403" ht="31.5" customHeight="1">
      <c r="A403" s="57"/>
      <c r="B403" s="67"/>
      <c r="C403" s="67"/>
      <c r="D403" s="68"/>
      <c r="E403" s="68"/>
      <c r="F403" s="57"/>
    </row>
    <row r="404" ht="31.5" customHeight="1">
      <c r="A404" s="65" t="s">
        <v>40</v>
      </c>
    </row>
    <row r="405">
      <c r="A405" s="57"/>
      <c r="B405" s="69"/>
      <c r="C405" s="69"/>
      <c r="D405" s="70"/>
      <c r="E405" s="70"/>
      <c r="F405" s="57"/>
    </row>
    <row r="406" ht="31.5" customHeight="1">
      <c r="A406" s="57"/>
      <c r="B406" s="58" t="s">
        <v>5</v>
      </c>
      <c r="D406" s="58" t="s">
        <v>6</v>
      </c>
      <c r="F406" s="57"/>
    </row>
    <row r="407" ht="15.75" customHeight="1">
      <c r="A407" s="57"/>
      <c r="B407" s="59" t="s">
        <v>8</v>
      </c>
      <c r="C407" s="60" t="str">
        <f>'Getting Started'!$G$10</f>
        <v/>
      </c>
      <c r="D407" s="59" t="s">
        <v>9</v>
      </c>
      <c r="E407" s="60" t="str">
        <f>'Getting Started'!$I$10</f>
        <v/>
      </c>
      <c r="F407" s="57"/>
    </row>
    <row r="408" ht="15.75" customHeight="1">
      <c r="A408" s="57"/>
      <c r="B408" s="59" t="s">
        <v>11</v>
      </c>
      <c r="C408" s="61" t="str">
        <f>'Getting Started'!$G$11</f>
        <v/>
      </c>
      <c r="D408" s="59" t="s">
        <v>12</v>
      </c>
      <c r="E408" s="60" t="str">
        <f>'Getting Started'!$I$11</f>
        <v/>
      </c>
      <c r="F408" s="57"/>
    </row>
    <row r="409" ht="31.5" customHeight="1">
      <c r="A409" s="57"/>
      <c r="B409" s="59" t="s">
        <v>13</v>
      </c>
      <c r="C409" s="60" t="str">
        <f>'Getting Started'!$G$12</f>
        <v/>
      </c>
      <c r="D409" s="59" t="s">
        <v>14</v>
      </c>
      <c r="E409" s="60" t="str">
        <f>'Getting Started'!$I$12</f>
        <v/>
      </c>
      <c r="F409" s="57"/>
    </row>
    <row r="410" ht="31.5" customHeight="1">
      <c r="A410" s="57"/>
      <c r="B410" s="59" t="s">
        <v>15</v>
      </c>
      <c r="C410" s="62" t="str">
        <f>'Getting Started'!$G$14</f>
        <v/>
      </c>
      <c r="D410" s="59" t="s">
        <v>16</v>
      </c>
      <c r="E410" s="60" t="str">
        <f>'Getting Started'!$I$14</f>
        <v/>
      </c>
      <c r="F410" s="57"/>
    </row>
    <row r="411" ht="31.5" customHeight="1">
      <c r="A411" s="57"/>
      <c r="B411" s="66" t="s">
        <v>46</v>
      </c>
      <c r="C411" s="66" t="s">
        <v>47</v>
      </c>
      <c r="D411" s="66" t="s">
        <v>48</v>
      </c>
      <c r="E411" s="66" t="s">
        <v>49</v>
      </c>
      <c r="F411" s="57"/>
    </row>
    <row r="412" ht="31.5" customHeight="1">
      <c r="A412" s="57"/>
      <c r="B412" s="67"/>
      <c r="C412" s="67"/>
      <c r="D412" s="68"/>
      <c r="E412" s="68"/>
      <c r="F412" s="57"/>
    </row>
    <row r="413" ht="31.5" customHeight="1">
      <c r="A413" s="57"/>
      <c r="B413" s="67"/>
      <c r="C413" s="67"/>
      <c r="D413" s="68"/>
      <c r="E413" s="68"/>
      <c r="F413" s="57"/>
    </row>
    <row r="414" ht="31.5" customHeight="1">
      <c r="A414" s="57"/>
      <c r="B414" s="67"/>
      <c r="C414" s="67"/>
      <c r="D414" s="68"/>
      <c r="E414" s="68"/>
      <c r="F414" s="57"/>
    </row>
    <row r="415" ht="31.5" customHeight="1">
      <c r="A415" s="57"/>
      <c r="B415" s="67"/>
      <c r="C415" s="67"/>
      <c r="D415" s="68"/>
      <c r="E415" s="68"/>
      <c r="F415" s="57"/>
    </row>
    <row r="416" ht="31.5" customHeight="1">
      <c r="A416" s="57"/>
      <c r="B416" s="67"/>
      <c r="C416" s="67"/>
      <c r="D416" s="68"/>
      <c r="E416" s="68"/>
      <c r="F416" s="57"/>
    </row>
    <row r="417" ht="31.5" customHeight="1">
      <c r="A417" s="57"/>
      <c r="B417" s="67"/>
      <c r="C417" s="67"/>
      <c r="D417" s="68"/>
      <c r="E417" s="68"/>
      <c r="F417" s="57"/>
    </row>
    <row r="418" ht="31.5" customHeight="1">
      <c r="A418" s="57"/>
      <c r="B418" s="67"/>
      <c r="C418" s="67"/>
      <c r="D418" s="68"/>
      <c r="E418" s="68"/>
      <c r="F418" s="57"/>
    </row>
    <row r="419" ht="31.5" customHeight="1">
      <c r="A419" s="57"/>
      <c r="B419" s="67"/>
      <c r="C419" s="67"/>
      <c r="D419" s="68"/>
      <c r="E419" s="68"/>
      <c r="F419" s="57"/>
    </row>
    <row r="420" ht="31.5" customHeight="1">
      <c r="A420" s="57"/>
      <c r="B420" s="67"/>
      <c r="C420" s="67"/>
      <c r="D420" s="68"/>
      <c r="E420" s="68"/>
      <c r="F420" s="57"/>
    </row>
    <row r="421" ht="31.5" customHeight="1">
      <c r="A421" s="57"/>
      <c r="B421" s="67"/>
      <c r="C421" s="67"/>
      <c r="D421" s="68"/>
      <c r="E421" s="68"/>
      <c r="F421" s="57"/>
    </row>
    <row r="422" ht="31.5" customHeight="1">
      <c r="A422" s="57"/>
      <c r="B422" s="67"/>
      <c r="C422" s="67"/>
      <c r="D422" s="68"/>
      <c r="E422" s="68"/>
      <c r="F422" s="57"/>
    </row>
    <row r="423" ht="31.5" customHeight="1">
      <c r="A423" s="57"/>
      <c r="B423" s="67"/>
      <c r="C423" s="67"/>
      <c r="D423" s="68"/>
      <c r="E423" s="68"/>
      <c r="F423" s="57"/>
    </row>
    <row r="424" ht="31.5" customHeight="1">
      <c r="A424" s="57"/>
      <c r="B424" s="67"/>
      <c r="C424" s="67"/>
      <c r="D424" s="68"/>
      <c r="E424" s="68"/>
      <c r="F424" s="57"/>
    </row>
    <row r="425" ht="31.5" customHeight="1">
      <c r="A425" s="57"/>
      <c r="B425" s="67"/>
      <c r="C425" s="67"/>
      <c r="D425" s="68"/>
      <c r="E425" s="68"/>
      <c r="F425" s="57"/>
    </row>
    <row r="426" ht="31.5" customHeight="1">
      <c r="A426" s="57"/>
      <c r="B426" s="67"/>
      <c r="C426" s="67"/>
      <c r="D426" s="68"/>
      <c r="E426" s="68"/>
      <c r="F426" s="57"/>
    </row>
    <row r="427" ht="31.5" customHeight="1">
      <c r="A427" s="57"/>
      <c r="B427" s="67"/>
      <c r="C427" s="67"/>
      <c r="D427" s="68"/>
      <c r="E427" s="68"/>
      <c r="F427" s="57"/>
    </row>
    <row r="428" ht="31.5" customHeight="1">
      <c r="A428" s="57"/>
      <c r="B428" s="67"/>
      <c r="C428" s="67"/>
      <c r="D428" s="68"/>
      <c r="E428" s="68"/>
      <c r="F428" s="57"/>
    </row>
    <row r="429" ht="31.5" customHeight="1">
      <c r="A429" s="57"/>
      <c r="B429" s="67"/>
      <c r="C429" s="67"/>
      <c r="D429" s="68"/>
      <c r="E429" s="68"/>
      <c r="F429" s="57"/>
    </row>
    <row r="430" ht="31.5" customHeight="1">
      <c r="A430" s="57"/>
      <c r="B430" s="67"/>
      <c r="C430" s="67"/>
      <c r="D430" s="68"/>
      <c r="E430" s="68"/>
      <c r="F430" s="57"/>
    </row>
    <row r="431" ht="31.5" customHeight="1">
      <c r="A431" s="65" t="s">
        <v>41</v>
      </c>
    </row>
    <row r="432">
      <c r="A432" s="57"/>
      <c r="B432" s="69"/>
      <c r="C432" s="69"/>
      <c r="D432" s="70"/>
      <c r="E432" s="70"/>
      <c r="F432" s="57"/>
    </row>
    <row r="433" ht="31.5" customHeight="1">
      <c r="A433" s="57"/>
      <c r="B433" s="58" t="s">
        <v>5</v>
      </c>
      <c r="D433" s="58" t="s">
        <v>6</v>
      </c>
      <c r="F433" s="57"/>
    </row>
    <row r="434" ht="15.75" customHeight="1">
      <c r="A434" s="57"/>
      <c r="B434" s="59" t="s">
        <v>8</v>
      </c>
      <c r="C434" s="60" t="str">
        <f>'Getting Started'!$G$10</f>
        <v/>
      </c>
      <c r="D434" s="59" t="s">
        <v>9</v>
      </c>
      <c r="E434" s="60" t="str">
        <f>'Getting Started'!$I$10</f>
        <v/>
      </c>
      <c r="F434" s="57"/>
    </row>
    <row r="435" ht="15.75" customHeight="1">
      <c r="A435" s="57"/>
      <c r="B435" s="59" t="s">
        <v>11</v>
      </c>
      <c r="C435" s="61" t="str">
        <f>'Getting Started'!$G$11</f>
        <v/>
      </c>
      <c r="D435" s="59" t="s">
        <v>12</v>
      </c>
      <c r="E435" s="60" t="str">
        <f>'Getting Started'!$I$11</f>
        <v/>
      </c>
      <c r="F435" s="57"/>
    </row>
    <row r="436" ht="31.5" customHeight="1">
      <c r="A436" s="57"/>
      <c r="B436" s="59" t="s">
        <v>13</v>
      </c>
      <c r="C436" s="60" t="str">
        <f>'Getting Started'!$G$12</f>
        <v/>
      </c>
      <c r="D436" s="59" t="s">
        <v>14</v>
      </c>
      <c r="E436" s="60" t="str">
        <f>'Getting Started'!$I$12</f>
        <v/>
      </c>
      <c r="F436" s="57"/>
    </row>
    <row r="437" ht="31.5" customHeight="1">
      <c r="A437" s="57"/>
      <c r="B437" s="59" t="s">
        <v>15</v>
      </c>
      <c r="C437" s="62" t="str">
        <f>'Getting Started'!$G$14</f>
        <v/>
      </c>
      <c r="D437" s="59" t="s">
        <v>16</v>
      </c>
      <c r="E437" s="60" t="str">
        <f>'Getting Started'!$I$14</f>
        <v/>
      </c>
      <c r="F437" s="57"/>
    </row>
    <row r="438" ht="31.5" customHeight="1">
      <c r="A438" s="57"/>
      <c r="B438" s="66" t="s">
        <v>46</v>
      </c>
      <c r="C438" s="66" t="s">
        <v>47</v>
      </c>
      <c r="D438" s="66" t="s">
        <v>48</v>
      </c>
      <c r="E438" s="66" t="s">
        <v>49</v>
      </c>
      <c r="F438" s="57"/>
    </row>
    <row r="439" ht="31.5" customHeight="1">
      <c r="A439" s="57"/>
      <c r="B439" s="67"/>
      <c r="C439" s="67"/>
      <c r="D439" s="68"/>
      <c r="E439" s="68"/>
      <c r="F439" s="57"/>
    </row>
    <row r="440" ht="31.5" customHeight="1">
      <c r="A440" s="57"/>
      <c r="B440" s="67"/>
      <c r="C440" s="67"/>
      <c r="D440" s="68"/>
      <c r="E440" s="68"/>
      <c r="F440" s="57"/>
    </row>
    <row r="441" ht="31.5" customHeight="1">
      <c r="A441" s="57"/>
      <c r="B441" s="67"/>
      <c r="C441" s="67"/>
      <c r="D441" s="68"/>
      <c r="E441" s="68"/>
      <c r="F441" s="57"/>
    </row>
    <row r="442" ht="31.5" customHeight="1">
      <c r="A442" s="57"/>
      <c r="B442" s="67"/>
      <c r="C442" s="67"/>
      <c r="D442" s="68"/>
      <c r="E442" s="68"/>
      <c r="F442" s="57"/>
    </row>
    <row r="443" ht="31.5" customHeight="1">
      <c r="A443" s="57"/>
      <c r="B443" s="67"/>
      <c r="C443" s="67"/>
      <c r="D443" s="68"/>
      <c r="E443" s="68"/>
      <c r="F443" s="57"/>
    </row>
    <row r="444" ht="31.5" customHeight="1">
      <c r="A444" s="57"/>
      <c r="B444" s="67"/>
      <c r="C444" s="67"/>
      <c r="D444" s="68"/>
      <c r="E444" s="68"/>
      <c r="F444" s="57"/>
    </row>
    <row r="445" ht="31.5" customHeight="1">
      <c r="A445" s="57"/>
      <c r="B445" s="67"/>
      <c r="C445" s="67"/>
      <c r="D445" s="68"/>
      <c r="E445" s="68"/>
      <c r="F445" s="57"/>
    </row>
    <row r="446" ht="31.5" customHeight="1">
      <c r="A446" s="57"/>
      <c r="B446" s="67"/>
      <c r="C446" s="67"/>
      <c r="D446" s="68"/>
      <c r="E446" s="68"/>
      <c r="F446" s="57"/>
    </row>
    <row r="447" ht="31.5" customHeight="1">
      <c r="A447" s="57"/>
      <c r="B447" s="67"/>
      <c r="C447" s="67"/>
      <c r="D447" s="68"/>
      <c r="E447" s="68"/>
      <c r="F447" s="57"/>
    </row>
    <row r="448" ht="31.5" customHeight="1">
      <c r="A448" s="57"/>
      <c r="B448" s="67"/>
      <c r="C448" s="67"/>
      <c r="D448" s="68"/>
      <c r="E448" s="68"/>
      <c r="F448" s="57"/>
    </row>
    <row r="449" ht="31.5" customHeight="1">
      <c r="A449" s="57"/>
      <c r="B449" s="67"/>
      <c r="C449" s="67"/>
      <c r="D449" s="68"/>
      <c r="E449" s="68"/>
      <c r="F449" s="57"/>
    </row>
    <row r="450" ht="31.5" customHeight="1">
      <c r="A450" s="57"/>
      <c r="B450" s="67"/>
      <c r="C450" s="67"/>
      <c r="D450" s="68"/>
      <c r="E450" s="68"/>
      <c r="F450" s="57"/>
    </row>
    <row r="451" ht="31.5" customHeight="1">
      <c r="A451" s="57"/>
      <c r="B451" s="67"/>
      <c r="C451" s="67"/>
      <c r="D451" s="68"/>
      <c r="E451" s="68"/>
      <c r="F451" s="57"/>
    </row>
    <row r="452" ht="31.5" customHeight="1">
      <c r="A452" s="57"/>
      <c r="B452" s="67"/>
      <c r="C452" s="67"/>
      <c r="D452" s="68"/>
      <c r="E452" s="68"/>
      <c r="F452" s="57"/>
    </row>
    <row r="453" ht="31.5" customHeight="1">
      <c r="A453" s="57"/>
      <c r="B453" s="67"/>
      <c r="C453" s="67"/>
      <c r="D453" s="68"/>
      <c r="E453" s="68"/>
      <c r="F453" s="57"/>
    </row>
    <row r="454" ht="31.5" customHeight="1">
      <c r="A454" s="57"/>
      <c r="B454" s="67"/>
      <c r="C454" s="67"/>
      <c r="D454" s="68"/>
      <c r="E454" s="68"/>
      <c r="F454" s="57"/>
    </row>
    <row r="455" ht="31.5" customHeight="1">
      <c r="A455" s="57"/>
      <c r="B455" s="67"/>
      <c r="C455" s="67"/>
      <c r="D455" s="68"/>
      <c r="E455" s="68"/>
      <c r="F455" s="57"/>
    </row>
    <row r="456" ht="31.5" customHeight="1">
      <c r="A456" s="57"/>
      <c r="B456" s="67"/>
      <c r="C456" s="67"/>
      <c r="D456" s="68"/>
      <c r="E456" s="68"/>
      <c r="F456" s="57"/>
    </row>
    <row r="457" ht="31.5" customHeight="1">
      <c r="A457" s="57"/>
      <c r="B457" s="67"/>
      <c r="C457" s="67"/>
      <c r="D457" s="68"/>
      <c r="E457" s="68"/>
      <c r="F457" s="57"/>
    </row>
    <row r="458" ht="31.5" customHeight="1">
      <c r="A458" s="65" t="s">
        <v>42</v>
      </c>
    </row>
    <row r="459">
      <c r="A459" s="57"/>
      <c r="B459" s="69"/>
      <c r="C459" s="69"/>
      <c r="D459" s="70"/>
      <c r="E459" s="70"/>
      <c r="F459" s="57"/>
    </row>
    <row r="460" ht="31.5" customHeight="1">
      <c r="A460" s="57"/>
      <c r="B460" s="58" t="s">
        <v>5</v>
      </c>
      <c r="D460" s="58" t="s">
        <v>6</v>
      </c>
      <c r="F460" s="57"/>
    </row>
    <row r="461" ht="15.75" customHeight="1">
      <c r="A461" s="57"/>
      <c r="B461" s="59" t="s">
        <v>8</v>
      </c>
      <c r="C461" s="60" t="str">
        <f>'Getting Started'!$G$10</f>
        <v/>
      </c>
      <c r="D461" s="59" t="s">
        <v>9</v>
      </c>
      <c r="E461" s="60" t="str">
        <f>'Getting Started'!$I$10</f>
        <v/>
      </c>
      <c r="F461" s="57"/>
    </row>
    <row r="462" ht="15.75" customHeight="1">
      <c r="A462" s="57"/>
      <c r="B462" s="59" t="s">
        <v>11</v>
      </c>
      <c r="C462" s="61" t="str">
        <f>'Getting Started'!$G$11</f>
        <v/>
      </c>
      <c r="D462" s="59" t="s">
        <v>12</v>
      </c>
      <c r="E462" s="60" t="str">
        <f>'Getting Started'!$I$11</f>
        <v/>
      </c>
      <c r="F462" s="57"/>
    </row>
    <row r="463" ht="31.5" customHeight="1">
      <c r="A463" s="57"/>
      <c r="B463" s="59" t="s">
        <v>13</v>
      </c>
      <c r="C463" s="60" t="str">
        <f>'Getting Started'!$G$12</f>
        <v/>
      </c>
      <c r="D463" s="59" t="s">
        <v>14</v>
      </c>
      <c r="E463" s="60" t="str">
        <f>'Getting Started'!$I$12</f>
        <v/>
      </c>
      <c r="F463" s="57"/>
    </row>
    <row r="464" ht="31.5" customHeight="1">
      <c r="A464" s="57"/>
      <c r="B464" s="59" t="s">
        <v>15</v>
      </c>
      <c r="C464" s="62" t="str">
        <f>'Getting Started'!$G$14</f>
        <v/>
      </c>
      <c r="D464" s="59" t="s">
        <v>16</v>
      </c>
      <c r="E464" s="60" t="str">
        <f>'Getting Started'!$I$14</f>
        <v/>
      </c>
      <c r="F464" s="57"/>
    </row>
    <row r="465" ht="31.5" customHeight="1">
      <c r="A465" s="57"/>
      <c r="B465" s="66" t="s">
        <v>46</v>
      </c>
      <c r="C465" s="66" t="s">
        <v>47</v>
      </c>
      <c r="D465" s="66" t="s">
        <v>48</v>
      </c>
      <c r="E465" s="66" t="s">
        <v>49</v>
      </c>
      <c r="F465" s="57"/>
    </row>
    <row r="466" ht="31.5" customHeight="1">
      <c r="A466" s="57"/>
      <c r="B466" s="67"/>
      <c r="C466" s="67"/>
      <c r="D466" s="68"/>
      <c r="E466" s="68"/>
      <c r="F466" s="57"/>
    </row>
    <row r="467" ht="31.5" customHeight="1">
      <c r="A467" s="57"/>
      <c r="B467" s="67"/>
      <c r="C467" s="67"/>
      <c r="D467" s="68"/>
      <c r="E467" s="68"/>
      <c r="F467" s="57"/>
    </row>
    <row r="468" ht="31.5" customHeight="1">
      <c r="A468" s="57"/>
      <c r="B468" s="67"/>
      <c r="C468" s="67"/>
      <c r="D468" s="68"/>
      <c r="E468" s="68"/>
      <c r="F468" s="57"/>
    </row>
    <row r="469" ht="31.5" customHeight="1">
      <c r="A469" s="57"/>
      <c r="B469" s="67"/>
      <c r="C469" s="67"/>
      <c r="D469" s="68"/>
      <c r="E469" s="68"/>
      <c r="F469" s="57"/>
    </row>
    <row r="470" ht="31.5" customHeight="1">
      <c r="A470" s="57"/>
      <c r="B470" s="67"/>
      <c r="C470" s="67"/>
      <c r="D470" s="68"/>
      <c r="E470" s="68"/>
      <c r="F470" s="57"/>
    </row>
    <row r="471" ht="31.5" customHeight="1">
      <c r="A471" s="57"/>
      <c r="B471" s="67"/>
      <c r="C471" s="67"/>
      <c r="D471" s="68"/>
      <c r="E471" s="68"/>
      <c r="F471" s="57"/>
    </row>
    <row r="472" ht="31.5" customHeight="1">
      <c r="A472" s="57"/>
      <c r="B472" s="67"/>
      <c r="C472" s="67"/>
      <c r="D472" s="68"/>
      <c r="E472" s="68"/>
      <c r="F472" s="57"/>
    </row>
    <row r="473" ht="31.5" customHeight="1">
      <c r="A473" s="57"/>
      <c r="B473" s="67"/>
      <c r="C473" s="67"/>
      <c r="D473" s="68"/>
      <c r="E473" s="68"/>
      <c r="F473" s="57"/>
    </row>
    <row r="474" ht="31.5" customHeight="1">
      <c r="A474" s="57"/>
      <c r="B474" s="67"/>
      <c r="C474" s="67"/>
      <c r="D474" s="68"/>
      <c r="E474" s="68"/>
      <c r="F474" s="57"/>
    </row>
    <row r="475" ht="31.5" customHeight="1">
      <c r="A475" s="57"/>
      <c r="B475" s="67"/>
      <c r="C475" s="67"/>
      <c r="D475" s="68"/>
      <c r="E475" s="68"/>
      <c r="F475" s="57"/>
    </row>
    <row r="476" ht="31.5" customHeight="1">
      <c r="A476" s="57"/>
      <c r="B476" s="67"/>
      <c r="C476" s="67"/>
      <c r="D476" s="68"/>
      <c r="E476" s="68"/>
      <c r="F476" s="57"/>
    </row>
    <row r="477" ht="31.5" customHeight="1">
      <c r="A477" s="57"/>
      <c r="B477" s="67"/>
      <c r="C477" s="67"/>
      <c r="D477" s="68"/>
      <c r="E477" s="68"/>
      <c r="F477" s="57"/>
    </row>
    <row r="478" ht="31.5" customHeight="1">
      <c r="A478" s="57"/>
      <c r="B478" s="67"/>
      <c r="C478" s="67"/>
      <c r="D478" s="68"/>
      <c r="E478" s="68"/>
      <c r="F478" s="57"/>
    </row>
    <row r="479" ht="31.5" customHeight="1">
      <c r="A479" s="57"/>
      <c r="B479" s="67"/>
      <c r="C479" s="67"/>
      <c r="D479" s="68"/>
      <c r="E479" s="68"/>
      <c r="F479" s="57"/>
    </row>
    <row r="480" ht="31.5" customHeight="1">
      <c r="A480" s="57"/>
      <c r="B480" s="67"/>
      <c r="C480" s="67"/>
      <c r="D480" s="68"/>
      <c r="E480" s="68"/>
      <c r="F480" s="57"/>
    </row>
    <row r="481" ht="31.5" customHeight="1">
      <c r="A481" s="57"/>
      <c r="B481" s="67"/>
      <c r="C481" s="67"/>
      <c r="D481" s="68"/>
      <c r="E481" s="68"/>
      <c r="F481" s="57"/>
    </row>
    <row r="482" ht="31.5" customHeight="1">
      <c r="A482" s="57"/>
      <c r="B482" s="67"/>
      <c r="C482" s="67"/>
      <c r="D482" s="68"/>
      <c r="E482" s="68"/>
      <c r="F482" s="57"/>
    </row>
    <row r="483" ht="31.5" customHeight="1">
      <c r="A483" s="57"/>
      <c r="B483" s="67"/>
      <c r="C483" s="67"/>
      <c r="D483" s="68"/>
      <c r="E483" s="68"/>
      <c r="F483" s="57"/>
    </row>
    <row r="484" ht="31.5" customHeight="1">
      <c r="A484" s="57"/>
      <c r="B484" s="67"/>
      <c r="C484" s="67"/>
      <c r="D484" s="68"/>
      <c r="E484" s="68"/>
      <c r="F484" s="57"/>
    </row>
    <row r="485" ht="31.5" customHeight="1">
      <c r="A485" s="65" t="s">
        <v>43</v>
      </c>
    </row>
    <row r="486">
      <c r="A486" s="57"/>
      <c r="B486" s="69"/>
      <c r="C486" s="69"/>
      <c r="D486" s="70"/>
      <c r="E486" s="70"/>
      <c r="F486" s="57"/>
    </row>
    <row r="487" ht="31.5" customHeight="1">
      <c r="A487" s="57"/>
      <c r="B487" s="58" t="s">
        <v>5</v>
      </c>
      <c r="D487" s="58" t="s">
        <v>6</v>
      </c>
      <c r="F487" s="57"/>
    </row>
    <row r="488" ht="15.75" customHeight="1">
      <c r="A488" s="57"/>
      <c r="B488" s="59" t="s">
        <v>8</v>
      </c>
      <c r="C488" s="60" t="str">
        <f>'Getting Started'!$G$10</f>
        <v/>
      </c>
      <c r="D488" s="59" t="s">
        <v>9</v>
      </c>
      <c r="E488" s="60" t="str">
        <f>'Getting Started'!$I$10</f>
        <v/>
      </c>
      <c r="F488" s="57"/>
    </row>
    <row r="489" ht="15.75" customHeight="1">
      <c r="A489" s="57"/>
      <c r="B489" s="59" t="s">
        <v>11</v>
      </c>
      <c r="C489" s="61" t="str">
        <f>'Getting Started'!$G$11</f>
        <v/>
      </c>
      <c r="D489" s="59" t="s">
        <v>12</v>
      </c>
      <c r="E489" s="60" t="str">
        <f>'Getting Started'!$I$11</f>
        <v/>
      </c>
      <c r="F489" s="57"/>
    </row>
    <row r="490" ht="31.5" customHeight="1">
      <c r="A490" s="57"/>
      <c r="B490" s="59" t="s">
        <v>13</v>
      </c>
      <c r="C490" s="60" t="str">
        <f>'Getting Started'!$G$12</f>
        <v/>
      </c>
      <c r="D490" s="59" t="s">
        <v>14</v>
      </c>
      <c r="E490" s="60" t="str">
        <f>'Getting Started'!$I$12</f>
        <v/>
      </c>
      <c r="F490" s="57"/>
    </row>
    <row r="491" ht="31.5" customHeight="1">
      <c r="A491" s="57"/>
      <c r="B491" s="59" t="s">
        <v>15</v>
      </c>
      <c r="C491" s="62" t="str">
        <f>'Getting Started'!$G$14</f>
        <v/>
      </c>
      <c r="D491" s="59" t="s">
        <v>16</v>
      </c>
      <c r="E491" s="60" t="str">
        <f>'Getting Started'!$I$14</f>
        <v/>
      </c>
      <c r="F491" s="57"/>
    </row>
    <row r="492" ht="31.5" customHeight="1">
      <c r="A492" s="57"/>
      <c r="B492" s="66" t="s">
        <v>46</v>
      </c>
      <c r="C492" s="66" t="s">
        <v>47</v>
      </c>
      <c r="D492" s="66" t="s">
        <v>48</v>
      </c>
      <c r="E492" s="66" t="s">
        <v>49</v>
      </c>
      <c r="F492" s="57"/>
    </row>
    <row r="493" ht="31.5" customHeight="1">
      <c r="A493" s="57"/>
      <c r="B493" s="67"/>
      <c r="C493" s="67"/>
      <c r="D493" s="68"/>
      <c r="E493" s="68"/>
      <c r="F493" s="57"/>
    </row>
    <row r="494" ht="31.5" customHeight="1">
      <c r="A494" s="57"/>
      <c r="B494" s="67"/>
      <c r="C494" s="67"/>
      <c r="D494" s="68"/>
      <c r="E494" s="68"/>
      <c r="F494" s="57"/>
    </row>
    <row r="495" ht="31.5" customHeight="1">
      <c r="A495" s="57"/>
      <c r="B495" s="67"/>
      <c r="C495" s="67"/>
      <c r="D495" s="68"/>
      <c r="E495" s="68"/>
      <c r="F495" s="57"/>
    </row>
    <row r="496" ht="31.5" customHeight="1">
      <c r="A496" s="57"/>
      <c r="B496" s="67"/>
      <c r="C496" s="67"/>
      <c r="D496" s="68"/>
      <c r="E496" s="68"/>
      <c r="F496" s="57"/>
    </row>
    <row r="497" ht="31.5" customHeight="1">
      <c r="A497" s="57"/>
      <c r="B497" s="67"/>
      <c r="C497" s="67"/>
      <c r="D497" s="68"/>
      <c r="E497" s="68"/>
      <c r="F497" s="57"/>
    </row>
    <row r="498" ht="31.5" customHeight="1">
      <c r="A498" s="57"/>
      <c r="B498" s="67"/>
      <c r="C498" s="67"/>
      <c r="D498" s="68"/>
      <c r="E498" s="68"/>
      <c r="F498" s="57"/>
    </row>
    <row r="499" ht="31.5" customHeight="1">
      <c r="A499" s="57"/>
      <c r="B499" s="67"/>
      <c r="C499" s="67"/>
      <c r="D499" s="68"/>
      <c r="E499" s="68"/>
      <c r="F499" s="57"/>
    </row>
    <row r="500" ht="31.5" customHeight="1">
      <c r="A500" s="57"/>
      <c r="B500" s="67"/>
      <c r="C500" s="67"/>
      <c r="D500" s="68"/>
      <c r="E500" s="68"/>
      <c r="F500" s="57"/>
    </row>
    <row r="501" ht="31.5" customHeight="1">
      <c r="A501" s="57"/>
      <c r="B501" s="67"/>
      <c r="C501" s="67"/>
      <c r="D501" s="68"/>
      <c r="E501" s="68"/>
      <c r="F501" s="57"/>
    </row>
    <row r="502" ht="31.5" customHeight="1">
      <c r="A502" s="57"/>
      <c r="B502" s="67"/>
      <c r="C502" s="67"/>
      <c r="D502" s="68"/>
      <c r="E502" s="68"/>
      <c r="F502" s="57"/>
    </row>
    <row r="503" ht="31.5" customHeight="1">
      <c r="A503" s="57"/>
      <c r="B503" s="67"/>
      <c r="C503" s="67"/>
      <c r="D503" s="68"/>
      <c r="E503" s="68"/>
      <c r="F503" s="57"/>
    </row>
    <row r="504" ht="31.5" customHeight="1">
      <c r="A504" s="57"/>
      <c r="B504" s="67"/>
      <c r="C504" s="67"/>
      <c r="D504" s="68"/>
      <c r="E504" s="68"/>
      <c r="F504" s="57"/>
    </row>
    <row r="505" ht="31.5" customHeight="1">
      <c r="A505" s="57"/>
      <c r="B505" s="67"/>
      <c r="C505" s="67"/>
      <c r="D505" s="68"/>
      <c r="E505" s="68"/>
      <c r="F505" s="57"/>
    </row>
    <row r="506" ht="31.5" customHeight="1">
      <c r="A506" s="57"/>
      <c r="B506" s="67"/>
      <c r="C506" s="67"/>
      <c r="D506" s="68"/>
      <c r="E506" s="68"/>
      <c r="F506" s="57"/>
    </row>
    <row r="507" ht="31.5" customHeight="1">
      <c r="A507" s="57"/>
      <c r="B507" s="67"/>
      <c r="C507" s="67"/>
      <c r="D507" s="68"/>
      <c r="E507" s="68"/>
      <c r="F507" s="57"/>
    </row>
    <row r="508" ht="31.5" customHeight="1">
      <c r="A508" s="57"/>
      <c r="B508" s="67"/>
      <c r="C508" s="67"/>
      <c r="D508" s="68"/>
      <c r="E508" s="68"/>
      <c r="F508" s="57"/>
    </row>
    <row r="509" ht="31.5" customHeight="1">
      <c r="A509" s="57"/>
      <c r="B509" s="67"/>
      <c r="C509" s="67"/>
      <c r="D509" s="68"/>
      <c r="E509" s="68"/>
      <c r="F509" s="57"/>
    </row>
    <row r="510" ht="31.5" customHeight="1">
      <c r="A510" s="57"/>
      <c r="B510" s="67"/>
      <c r="C510" s="67"/>
      <c r="D510" s="68"/>
      <c r="E510" s="68"/>
      <c r="F510" s="57"/>
    </row>
    <row r="511" ht="31.5" customHeight="1">
      <c r="A511" s="57"/>
      <c r="B511" s="67"/>
      <c r="C511" s="67"/>
      <c r="D511" s="68"/>
      <c r="E511" s="68"/>
      <c r="F511" s="57"/>
    </row>
    <row r="512" ht="31.5" customHeight="1">
      <c r="A512" s="65" t="s">
        <v>44</v>
      </c>
    </row>
    <row r="513">
      <c r="A513" s="57"/>
      <c r="B513" s="69"/>
      <c r="C513" s="69"/>
      <c r="D513" s="70"/>
      <c r="E513" s="70"/>
      <c r="F513" s="57"/>
    </row>
    <row r="514" ht="31.5" customHeight="1">
      <c r="A514" s="57"/>
      <c r="B514" s="58" t="s">
        <v>5</v>
      </c>
      <c r="D514" s="58" t="s">
        <v>6</v>
      </c>
      <c r="F514" s="57"/>
    </row>
    <row r="515" ht="15.75" customHeight="1">
      <c r="A515" s="57"/>
      <c r="B515" s="59" t="s">
        <v>8</v>
      </c>
      <c r="C515" s="60" t="str">
        <f>'Getting Started'!$G$10</f>
        <v/>
      </c>
      <c r="D515" s="59" t="s">
        <v>9</v>
      </c>
      <c r="E515" s="60" t="str">
        <f>'Getting Started'!$I$10</f>
        <v/>
      </c>
      <c r="F515" s="57"/>
    </row>
    <row r="516" ht="15.75" customHeight="1">
      <c r="A516" s="57"/>
      <c r="B516" s="59" t="s">
        <v>11</v>
      </c>
      <c r="C516" s="61" t="str">
        <f>'Getting Started'!$G$11</f>
        <v/>
      </c>
      <c r="D516" s="59" t="s">
        <v>12</v>
      </c>
      <c r="E516" s="60" t="str">
        <f>'Getting Started'!$I$11</f>
        <v/>
      </c>
      <c r="F516" s="57"/>
    </row>
    <row r="517" ht="31.5" customHeight="1">
      <c r="A517" s="57"/>
      <c r="B517" s="59" t="s">
        <v>13</v>
      </c>
      <c r="C517" s="60" t="str">
        <f>'Getting Started'!$G$12</f>
        <v/>
      </c>
      <c r="D517" s="59" t="s">
        <v>14</v>
      </c>
      <c r="E517" s="60" t="str">
        <f>'Getting Started'!$I$12</f>
        <v/>
      </c>
      <c r="F517" s="57"/>
    </row>
    <row r="518" ht="31.5" customHeight="1">
      <c r="A518" s="57"/>
      <c r="B518" s="59" t="s">
        <v>15</v>
      </c>
      <c r="C518" s="62" t="str">
        <f>'Getting Started'!$G$14</f>
        <v/>
      </c>
      <c r="D518" s="59" t="s">
        <v>16</v>
      </c>
      <c r="E518" s="60" t="str">
        <f>'Getting Started'!$I$14</f>
        <v/>
      </c>
      <c r="F518" s="57"/>
    </row>
    <row r="519" ht="31.5" customHeight="1">
      <c r="A519" s="57"/>
      <c r="B519" s="66" t="s">
        <v>46</v>
      </c>
      <c r="C519" s="66" t="s">
        <v>47</v>
      </c>
      <c r="D519" s="66" t="s">
        <v>48</v>
      </c>
      <c r="E519" s="66" t="s">
        <v>49</v>
      </c>
      <c r="F519" s="57"/>
    </row>
    <row r="520" ht="31.5" customHeight="1">
      <c r="A520" s="57"/>
      <c r="B520" s="67"/>
      <c r="C520" s="67"/>
      <c r="D520" s="68"/>
      <c r="E520" s="68"/>
      <c r="F520" s="57"/>
    </row>
    <row r="521" ht="31.5" customHeight="1">
      <c r="A521" s="57"/>
      <c r="B521" s="67"/>
      <c r="C521" s="67"/>
      <c r="D521" s="68"/>
      <c r="E521" s="68"/>
      <c r="F521" s="57"/>
    </row>
    <row r="522" ht="31.5" customHeight="1">
      <c r="A522" s="57"/>
      <c r="B522" s="67"/>
      <c r="C522" s="67"/>
      <c r="D522" s="68"/>
      <c r="E522" s="68"/>
      <c r="F522" s="57"/>
    </row>
    <row r="523" ht="31.5" customHeight="1">
      <c r="A523" s="57"/>
      <c r="B523" s="67"/>
      <c r="C523" s="67"/>
      <c r="D523" s="68"/>
      <c r="E523" s="68"/>
      <c r="F523" s="57"/>
    </row>
    <row r="524" ht="31.5" customHeight="1">
      <c r="A524" s="57"/>
      <c r="B524" s="67"/>
      <c r="C524" s="67"/>
      <c r="D524" s="68"/>
      <c r="E524" s="68"/>
      <c r="F524" s="57"/>
    </row>
    <row r="525" ht="31.5" customHeight="1">
      <c r="A525" s="57"/>
      <c r="B525" s="67"/>
      <c r="C525" s="67"/>
      <c r="D525" s="68"/>
      <c r="E525" s="68"/>
      <c r="F525" s="57"/>
    </row>
    <row r="526" ht="31.5" customHeight="1">
      <c r="A526" s="57"/>
      <c r="B526" s="67"/>
      <c r="C526" s="67"/>
      <c r="D526" s="68"/>
      <c r="E526" s="68"/>
      <c r="F526" s="57"/>
    </row>
    <row r="527" ht="31.5" customHeight="1">
      <c r="A527" s="57"/>
      <c r="B527" s="67"/>
      <c r="C527" s="67"/>
      <c r="D527" s="68"/>
      <c r="E527" s="68"/>
      <c r="F527" s="57"/>
    </row>
    <row r="528" ht="31.5" customHeight="1">
      <c r="A528" s="57"/>
      <c r="B528" s="67"/>
      <c r="C528" s="67"/>
      <c r="D528" s="68"/>
      <c r="E528" s="68"/>
      <c r="F528" s="57"/>
    </row>
    <row r="529" ht="31.5" customHeight="1">
      <c r="A529" s="57"/>
      <c r="B529" s="67"/>
      <c r="C529" s="67"/>
      <c r="D529" s="68"/>
      <c r="E529" s="68"/>
      <c r="F529" s="57"/>
    </row>
    <row r="530" ht="31.5" customHeight="1">
      <c r="A530" s="57"/>
      <c r="B530" s="67"/>
      <c r="C530" s="67"/>
      <c r="D530" s="68"/>
      <c r="E530" s="68"/>
      <c r="F530" s="57"/>
    </row>
    <row r="531" ht="31.5" customHeight="1">
      <c r="A531" s="57"/>
      <c r="B531" s="67"/>
      <c r="C531" s="67"/>
      <c r="D531" s="68"/>
      <c r="E531" s="68"/>
      <c r="F531" s="57"/>
    </row>
    <row r="532" ht="31.5" customHeight="1">
      <c r="A532" s="57"/>
      <c r="B532" s="67"/>
      <c r="C532" s="67"/>
      <c r="D532" s="68"/>
      <c r="E532" s="68"/>
      <c r="F532" s="57"/>
    </row>
    <row r="533" ht="31.5" customHeight="1">
      <c r="A533" s="57"/>
      <c r="B533" s="67"/>
      <c r="C533" s="67"/>
      <c r="D533" s="68"/>
      <c r="E533" s="68"/>
      <c r="F533" s="57"/>
    </row>
    <row r="534" ht="31.5" customHeight="1">
      <c r="A534" s="57"/>
      <c r="B534" s="67"/>
      <c r="C534" s="67"/>
      <c r="D534" s="68"/>
      <c r="E534" s="68"/>
      <c r="F534" s="57"/>
    </row>
    <row r="535" ht="31.5" customHeight="1">
      <c r="A535" s="57"/>
      <c r="B535" s="67"/>
      <c r="C535" s="67"/>
      <c r="D535" s="68"/>
      <c r="E535" s="68"/>
      <c r="F535" s="57"/>
    </row>
    <row r="536" ht="31.5" customHeight="1">
      <c r="A536" s="57"/>
      <c r="B536" s="67"/>
      <c r="C536" s="67"/>
      <c r="D536" s="68"/>
      <c r="E536" s="68"/>
      <c r="F536" s="57"/>
    </row>
    <row r="537" ht="31.5" customHeight="1">
      <c r="A537" s="57"/>
      <c r="B537" s="67"/>
      <c r="C537" s="67"/>
      <c r="D537" s="68"/>
      <c r="E537" s="68"/>
      <c r="F537" s="57"/>
    </row>
    <row r="538" ht="31.5" customHeight="1">
      <c r="A538" s="57"/>
      <c r="B538" s="67"/>
      <c r="C538" s="67"/>
      <c r="D538" s="68"/>
      <c r="E538" s="68"/>
      <c r="F538" s="57"/>
    </row>
    <row r="539" ht="31.5" customHeight="1">
      <c r="A539" s="65" t="s">
        <v>45</v>
      </c>
    </row>
    <row r="540">
      <c r="A540" s="57"/>
      <c r="B540" s="69"/>
      <c r="C540" s="69"/>
      <c r="D540" s="70"/>
      <c r="E540" s="70"/>
      <c r="F540" s="57"/>
    </row>
  </sheetData>
  <mergeCells count="60">
    <mergeCell ref="B379:C379"/>
    <mergeCell ref="D379:E379"/>
    <mergeCell ref="A404:F404"/>
    <mergeCell ref="B406:C406"/>
    <mergeCell ref="D406:E406"/>
    <mergeCell ref="A431:F431"/>
    <mergeCell ref="B433:C433"/>
    <mergeCell ref="D433:E433"/>
    <mergeCell ref="A458:F458"/>
    <mergeCell ref="B460:C460"/>
    <mergeCell ref="D460:E460"/>
    <mergeCell ref="A485:F485"/>
    <mergeCell ref="B487:C487"/>
    <mergeCell ref="D487:E487"/>
    <mergeCell ref="B1:C1"/>
    <mergeCell ref="D1:E1"/>
    <mergeCell ref="A26:F26"/>
    <mergeCell ref="B28:C28"/>
    <mergeCell ref="D28:E28"/>
    <mergeCell ref="A53:F53"/>
    <mergeCell ref="B55:C55"/>
    <mergeCell ref="D55:E55"/>
    <mergeCell ref="A80:F80"/>
    <mergeCell ref="B82:C82"/>
    <mergeCell ref="D82:E82"/>
    <mergeCell ref="A107:F107"/>
    <mergeCell ref="B109:C109"/>
    <mergeCell ref="D109:E109"/>
    <mergeCell ref="A134:F134"/>
    <mergeCell ref="B136:C136"/>
    <mergeCell ref="D136:E136"/>
    <mergeCell ref="A161:F161"/>
    <mergeCell ref="B163:C163"/>
    <mergeCell ref="D163:E163"/>
    <mergeCell ref="A188:F188"/>
    <mergeCell ref="B190:C190"/>
    <mergeCell ref="D190:E190"/>
    <mergeCell ref="A215:F215"/>
    <mergeCell ref="B217:C217"/>
    <mergeCell ref="D217:E217"/>
    <mergeCell ref="A242:F242"/>
    <mergeCell ref="B244:C244"/>
    <mergeCell ref="D244:E244"/>
    <mergeCell ref="A269:F269"/>
    <mergeCell ref="B271:C271"/>
    <mergeCell ref="D271:E271"/>
    <mergeCell ref="A296:F296"/>
    <mergeCell ref="B298:C298"/>
    <mergeCell ref="D298:E298"/>
    <mergeCell ref="A323:F323"/>
    <mergeCell ref="B325:C325"/>
    <mergeCell ref="D325:E325"/>
    <mergeCell ref="A350:F350"/>
    <mergeCell ref="B352:C352"/>
    <mergeCell ref="D352:E352"/>
    <mergeCell ref="A377:F377"/>
    <mergeCell ref="A512:F512"/>
    <mergeCell ref="B514:C514"/>
    <mergeCell ref="D514:E514"/>
    <mergeCell ref="A539:F539"/>
  </mergeCells>
  <dataValidations>
    <dataValidation type="custom" allowBlank="1" showDropDown="1" sqref="D7:E25 D27:E27 D34:E52 D54:E54 D61:E79 D81:E81 D88:E106 D108:E108 D115:E133 D135:E135 D142:E160 D162:E162 D169:E187 D189:E189 D196:E214 D216:E216 D223:E241 D243:E243 D250:E268 D270:E270 D277:E295 D297:E297 D304:E322 D324:E324 D331:E349 D351:E351 D358:E376 D378:E378 D385:E403 D405:E405 D412:E430 D432:E432 D439:E457 D459:E459 D466:E484 D486:E486 D493:E511 D513:E513 D520:E538 D540:E540">
      <formula1>OR(NOT(ISERROR(DATEVALUE(D7))), AND(ISNUMBER(D7), LEFT(CELL("format", D7))="D"))</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8.88"/>
    <col customWidth="1" min="3" max="8" width="6.38"/>
    <col customWidth="1" hidden="1" min="9" max="9" width="18.88"/>
    <col customWidth="1" min="10" max="10" width="18.88"/>
    <col customWidth="1" min="11" max="11" width="6.38"/>
    <col customWidth="1" hidden="1" min="12" max="12" width="18.88"/>
    <col customWidth="1" min="13" max="13" width="6.38"/>
    <col customWidth="1" hidden="1" min="14" max="14" width="6.38"/>
    <col customWidth="1" min="15" max="15" width="6.38"/>
  </cols>
  <sheetData>
    <row r="1" ht="31.5" customHeight="1">
      <c r="A1" s="58"/>
      <c r="B1" s="1"/>
      <c r="C1" s="71" t="s">
        <v>5</v>
      </c>
      <c r="I1" s="58" t="s">
        <v>6</v>
      </c>
      <c r="P1" s="72"/>
    </row>
    <row r="2" ht="15.75" customHeight="1">
      <c r="A2" s="73"/>
      <c r="B2" s="74" t="s">
        <v>50</v>
      </c>
      <c r="C2" s="59" t="s">
        <v>8</v>
      </c>
      <c r="F2" s="60" t="str">
        <f>'Getting Started'!$G$10</f>
        <v/>
      </c>
      <c r="I2" s="59" t="s">
        <v>9</v>
      </c>
      <c r="K2" s="60" t="str">
        <f>'Getting Started'!$I$10</f>
        <v/>
      </c>
      <c r="P2" s="40"/>
    </row>
    <row r="3" ht="15.75" customHeight="1">
      <c r="A3" s="73"/>
      <c r="B3" s="75" t="s">
        <v>51</v>
      </c>
      <c r="C3" s="59" t="s">
        <v>11</v>
      </c>
      <c r="F3" s="61" t="str">
        <f>'Getting Started'!$G$11</f>
        <v/>
      </c>
      <c r="I3" s="59" t="s">
        <v>12</v>
      </c>
      <c r="K3" s="60" t="str">
        <f>'Getting Started'!$I$11</f>
        <v/>
      </c>
      <c r="P3" s="40"/>
    </row>
    <row r="4" ht="31.5" customHeight="1">
      <c r="A4" s="73"/>
      <c r="B4" s="1"/>
      <c r="C4" s="59" t="s">
        <v>13</v>
      </c>
      <c r="F4" s="60" t="str">
        <f>'Getting Started'!$G$12</f>
        <v/>
      </c>
      <c r="I4" s="59" t="s">
        <v>14</v>
      </c>
      <c r="K4" s="60" t="str">
        <f>'Getting Started'!$I$12</f>
        <v/>
      </c>
      <c r="P4" s="40"/>
    </row>
    <row r="5" ht="15.75" customHeight="1">
      <c r="A5" s="73"/>
      <c r="B5" s="1"/>
      <c r="C5" s="59" t="s">
        <v>15</v>
      </c>
      <c r="F5" s="62" t="str">
        <f>'Getting Started'!$G$14</f>
        <v/>
      </c>
      <c r="I5" s="59" t="s">
        <v>16</v>
      </c>
      <c r="K5" s="60" t="str">
        <f>'Getting Started'!$I$14</f>
        <v/>
      </c>
      <c r="P5" s="40"/>
    </row>
    <row r="6" ht="15.75" customHeight="1">
      <c r="A6" s="73"/>
      <c r="B6" s="19" t="s">
        <v>52</v>
      </c>
      <c r="P6" s="40"/>
    </row>
    <row r="7" ht="31.5" customHeight="1">
      <c r="A7" s="40"/>
      <c r="B7" s="76" t="s">
        <v>53</v>
      </c>
      <c r="C7" s="8"/>
      <c r="D7" s="8"/>
      <c r="E7" s="8"/>
      <c r="F7" s="8"/>
      <c r="G7" s="8"/>
      <c r="H7" s="8"/>
      <c r="I7" s="8"/>
      <c r="J7" s="77"/>
      <c r="K7" s="78" t="s">
        <v>54</v>
      </c>
      <c r="L7" s="79" t="s">
        <v>55</v>
      </c>
      <c r="M7" s="80" t="s">
        <v>56</v>
      </c>
      <c r="N7" s="81"/>
      <c r="O7" s="82" t="s">
        <v>57</v>
      </c>
      <c r="P7" s="1"/>
    </row>
    <row r="8" ht="15.75" customHeight="1">
      <c r="A8" s="40"/>
      <c r="B8" s="83"/>
      <c r="J8" s="47"/>
      <c r="K8" s="84"/>
      <c r="L8" s="85" t="b">
        <v>0</v>
      </c>
      <c r="M8" s="86"/>
      <c r="N8" s="87"/>
      <c r="O8" s="88"/>
      <c r="P8" s="1"/>
    </row>
    <row r="9" ht="15.75" customHeight="1">
      <c r="A9" s="40"/>
      <c r="B9" s="83"/>
      <c r="J9" s="47"/>
      <c r="K9" s="84"/>
      <c r="L9" s="85" t="b">
        <v>0</v>
      </c>
      <c r="M9" s="86"/>
      <c r="N9" s="87"/>
      <c r="O9" s="88"/>
      <c r="P9" s="1"/>
    </row>
    <row r="10" ht="15.75" customHeight="1">
      <c r="A10" s="40"/>
      <c r="B10" s="83"/>
      <c r="J10" s="47"/>
      <c r="K10" s="84"/>
      <c r="L10" s="85" t="b">
        <v>0</v>
      </c>
      <c r="M10" s="86"/>
      <c r="N10" s="87"/>
      <c r="O10" s="88"/>
      <c r="P10" s="1"/>
    </row>
    <row r="11" ht="15.75" customHeight="1">
      <c r="A11" s="40"/>
      <c r="B11" s="83"/>
      <c r="J11" s="47"/>
      <c r="K11" s="84"/>
      <c r="L11" s="85" t="b">
        <v>0</v>
      </c>
      <c r="M11" s="86"/>
      <c r="N11" s="87"/>
      <c r="O11" s="88"/>
      <c r="P11" s="1"/>
    </row>
    <row r="12" ht="15.75" customHeight="1">
      <c r="A12" s="40"/>
      <c r="B12" s="83"/>
      <c r="J12" s="47"/>
      <c r="K12" s="84"/>
      <c r="L12" s="85" t="b">
        <v>0</v>
      </c>
      <c r="M12" s="86"/>
      <c r="N12" s="87"/>
      <c r="O12" s="88"/>
      <c r="P12" s="1"/>
    </row>
    <row r="13" ht="15.75" customHeight="1">
      <c r="A13" s="40"/>
      <c r="B13" s="83"/>
      <c r="J13" s="47"/>
      <c r="K13" s="84"/>
      <c r="L13" s="85" t="b">
        <v>0</v>
      </c>
      <c r="M13" s="86"/>
      <c r="N13" s="87"/>
      <c r="O13" s="88"/>
      <c r="P13" s="1"/>
    </row>
    <row r="14" ht="15.75" customHeight="1">
      <c r="A14" s="40"/>
      <c r="B14" s="83"/>
      <c r="J14" s="47"/>
      <c r="K14" s="84"/>
      <c r="L14" s="85" t="b">
        <v>0</v>
      </c>
      <c r="M14" s="86"/>
      <c r="N14" s="87"/>
      <c r="O14" s="88"/>
      <c r="P14" s="1"/>
    </row>
    <row r="15" ht="15.75" customHeight="1">
      <c r="A15" s="40"/>
      <c r="B15" s="83"/>
      <c r="J15" s="47"/>
      <c r="K15" s="84"/>
      <c r="L15" s="85" t="b">
        <v>0</v>
      </c>
      <c r="M15" s="86"/>
      <c r="N15" s="87"/>
      <c r="O15" s="88"/>
      <c r="P15" s="1"/>
    </row>
    <row r="16" ht="15.75" customHeight="1">
      <c r="A16" s="40"/>
      <c r="B16" s="83"/>
      <c r="J16" s="47"/>
      <c r="K16" s="84"/>
      <c r="L16" s="85" t="b">
        <v>0</v>
      </c>
      <c r="M16" s="86"/>
      <c r="N16" s="87"/>
      <c r="O16" s="88"/>
      <c r="P16" s="1"/>
    </row>
    <row r="17" ht="15.75" customHeight="1">
      <c r="A17" s="40"/>
      <c r="B17" s="83"/>
      <c r="J17" s="47"/>
      <c r="K17" s="84"/>
      <c r="L17" s="85" t="b">
        <v>0</v>
      </c>
      <c r="M17" s="86"/>
      <c r="N17" s="87"/>
      <c r="O17" s="88"/>
      <c r="P17" s="1"/>
    </row>
    <row r="18" ht="15.75" customHeight="1">
      <c r="A18" s="40"/>
      <c r="B18" s="83"/>
      <c r="J18" s="47"/>
      <c r="K18" s="84"/>
      <c r="L18" s="85" t="b">
        <v>0</v>
      </c>
      <c r="M18" s="86"/>
      <c r="N18" s="87"/>
      <c r="O18" s="88"/>
      <c r="P18" s="1"/>
    </row>
    <row r="19" ht="15.75" customHeight="1">
      <c r="A19" s="40"/>
      <c r="B19" s="83"/>
      <c r="J19" s="47"/>
      <c r="K19" s="84"/>
      <c r="L19" s="85" t="b">
        <v>0</v>
      </c>
      <c r="M19" s="86"/>
      <c r="N19" s="87"/>
      <c r="O19" s="88"/>
      <c r="P19" s="1"/>
    </row>
    <row r="20" ht="15.75" customHeight="1">
      <c r="A20" s="40"/>
      <c r="B20" s="83"/>
      <c r="J20" s="47"/>
      <c r="K20" s="84"/>
      <c r="L20" s="85" t="b">
        <v>0</v>
      </c>
      <c r="M20" s="86"/>
      <c r="N20" s="87"/>
      <c r="O20" s="88"/>
      <c r="P20" s="1"/>
    </row>
    <row r="21" ht="15.75" customHeight="1">
      <c r="A21" s="40"/>
      <c r="B21" s="83"/>
      <c r="J21" s="47"/>
      <c r="K21" s="84"/>
      <c r="L21" s="85" t="b">
        <v>0</v>
      </c>
      <c r="M21" s="86"/>
      <c r="N21" s="87"/>
      <c r="O21" s="88"/>
      <c r="P21" s="1"/>
    </row>
    <row r="22" ht="15.75" customHeight="1">
      <c r="A22" s="40"/>
      <c r="B22" s="83"/>
      <c r="J22" s="47"/>
      <c r="K22" s="84"/>
      <c r="L22" s="85" t="b">
        <v>0</v>
      </c>
      <c r="M22" s="86"/>
      <c r="N22" s="87"/>
      <c r="O22" s="88"/>
      <c r="P22" s="1"/>
    </row>
    <row r="23" ht="15.75" customHeight="1">
      <c r="A23" s="40"/>
      <c r="B23" s="83"/>
      <c r="J23" s="47"/>
      <c r="K23" s="84"/>
      <c r="L23" s="85" t="b">
        <v>0</v>
      </c>
      <c r="M23" s="86"/>
      <c r="N23" s="87"/>
      <c r="O23" s="88"/>
      <c r="P23" s="1"/>
    </row>
    <row r="24" ht="15.75" customHeight="1">
      <c r="A24" s="40"/>
      <c r="B24" s="83"/>
      <c r="J24" s="47"/>
      <c r="K24" s="84"/>
      <c r="L24" s="85" t="b">
        <v>0</v>
      </c>
      <c r="M24" s="86"/>
      <c r="N24" s="87"/>
      <c r="O24" s="88"/>
      <c r="P24" s="1"/>
    </row>
    <row r="25" ht="15.75" customHeight="1">
      <c r="A25" s="40"/>
      <c r="B25" s="83"/>
      <c r="J25" s="47"/>
      <c r="K25" s="84"/>
      <c r="L25" s="85" t="b">
        <v>0</v>
      </c>
      <c r="M25" s="86"/>
      <c r="N25" s="87"/>
      <c r="O25" s="88"/>
      <c r="P25" s="1"/>
    </row>
    <row r="26" ht="15.75" customHeight="1">
      <c r="A26" s="40"/>
      <c r="B26" s="83"/>
      <c r="J26" s="47"/>
      <c r="K26" s="84"/>
      <c r="L26" s="85" t="b">
        <v>0</v>
      </c>
      <c r="M26" s="86"/>
      <c r="N26" s="87"/>
      <c r="O26" s="88"/>
      <c r="P26" s="1"/>
    </row>
    <row r="27" ht="15.75" customHeight="1">
      <c r="A27" s="40"/>
      <c r="B27" s="83"/>
      <c r="J27" s="47"/>
      <c r="K27" s="84"/>
      <c r="L27" s="85" t="b">
        <v>0</v>
      </c>
      <c r="M27" s="86"/>
      <c r="N27" s="87"/>
      <c r="O27" s="88"/>
      <c r="P27" s="1"/>
    </row>
    <row r="28" ht="15.75" customHeight="1">
      <c r="A28" s="40"/>
      <c r="B28" s="83"/>
      <c r="J28" s="47"/>
      <c r="K28" s="84"/>
      <c r="L28" s="85" t="b">
        <v>0</v>
      </c>
      <c r="M28" s="86"/>
      <c r="N28" s="87"/>
      <c r="O28" s="88"/>
      <c r="P28" s="1"/>
    </row>
    <row r="29" ht="15.75" customHeight="1">
      <c r="A29" s="40"/>
      <c r="B29" s="83"/>
      <c r="J29" s="47"/>
      <c r="K29" s="84"/>
      <c r="L29" s="85" t="b">
        <v>0</v>
      </c>
      <c r="M29" s="86"/>
      <c r="N29" s="87"/>
      <c r="O29" s="88"/>
      <c r="P29" s="1"/>
    </row>
    <row r="30" ht="15.75" customHeight="1">
      <c r="A30" s="40"/>
      <c r="B30" s="83"/>
      <c r="J30" s="47"/>
      <c r="K30" s="84"/>
      <c r="L30" s="85" t="b">
        <v>0</v>
      </c>
      <c r="M30" s="86"/>
      <c r="N30" s="87"/>
      <c r="O30" s="88"/>
      <c r="P30" s="1"/>
    </row>
    <row r="31" ht="15.75" customHeight="1">
      <c r="A31" s="40"/>
      <c r="B31" s="83"/>
      <c r="J31" s="47"/>
      <c r="K31" s="84"/>
      <c r="L31" s="85" t="b">
        <v>0</v>
      </c>
      <c r="M31" s="86"/>
      <c r="N31" s="87"/>
      <c r="O31" s="88"/>
      <c r="P31" s="1"/>
    </row>
    <row r="32" ht="15.75" customHeight="1">
      <c r="A32" s="40"/>
      <c r="B32" s="83"/>
      <c r="J32" s="47"/>
      <c r="K32" s="84"/>
      <c r="L32" s="85" t="b">
        <v>0</v>
      </c>
      <c r="M32" s="86"/>
      <c r="N32" s="87"/>
      <c r="O32" s="88"/>
      <c r="P32" s="1"/>
    </row>
    <row r="33" ht="15.75" customHeight="1">
      <c r="A33" s="40"/>
      <c r="B33" s="83"/>
      <c r="J33" s="47"/>
      <c r="K33" s="84"/>
      <c r="L33" s="85" t="b">
        <v>0</v>
      </c>
      <c r="M33" s="86"/>
      <c r="N33" s="87"/>
      <c r="O33" s="88"/>
      <c r="P33" s="1"/>
    </row>
    <row r="34" ht="15.75" customHeight="1">
      <c r="A34" s="40"/>
      <c r="B34" s="83"/>
      <c r="J34" s="47"/>
      <c r="K34" s="84"/>
      <c r="L34" s="85" t="b">
        <v>0</v>
      </c>
      <c r="M34" s="86"/>
      <c r="N34" s="87"/>
      <c r="O34" s="88"/>
      <c r="P34" s="1"/>
    </row>
    <row r="35" ht="15.75" customHeight="1">
      <c r="A35" s="40"/>
      <c r="B35" s="83"/>
      <c r="J35" s="47"/>
      <c r="K35" s="84"/>
      <c r="L35" s="85" t="b">
        <v>0</v>
      </c>
      <c r="M35" s="86"/>
      <c r="N35" s="87"/>
      <c r="O35" s="88"/>
      <c r="P35" s="1"/>
    </row>
    <row r="36" ht="15.75" customHeight="1">
      <c r="A36" s="40"/>
      <c r="B36" s="83"/>
      <c r="J36" s="47"/>
      <c r="K36" s="84"/>
      <c r="L36" s="85" t="b">
        <v>0</v>
      </c>
      <c r="M36" s="86"/>
      <c r="N36" s="87"/>
      <c r="O36" s="88"/>
      <c r="P36" s="1"/>
    </row>
    <row r="37" ht="15.75" customHeight="1">
      <c r="A37" s="40"/>
      <c r="B37" s="83"/>
      <c r="J37" s="47"/>
      <c r="K37" s="84"/>
      <c r="L37" s="85" t="b">
        <v>0</v>
      </c>
      <c r="M37" s="86"/>
      <c r="N37" s="87"/>
      <c r="O37" s="88"/>
      <c r="P37" s="1"/>
    </row>
    <row r="38" ht="15.75" customHeight="1">
      <c r="A38" s="40"/>
      <c r="B38" s="83"/>
      <c r="J38" s="47"/>
      <c r="K38" s="84"/>
      <c r="L38" s="85" t="b">
        <v>0</v>
      </c>
      <c r="M38" s="86"/>
      <c r="N38" s="87"/>
      <c r="O38" s="88"/>
      <c r="P38" s="1"/>
    </row>
    <row r="39" ht="15.75" customHeight="1">
      <c r="A39" s="40"/>
      <c r="B39" s="83"/>
      <c r="J39" s="47"/>
      <c r="K39" s="84"/>
      <c r="L39" s="85" t="b">
        <v>0</v>
      </c>
      <c r="M39" s="86"/>
      <c r="N39" s="87"/>
      <c r="O39" s="88"/>
      <c r="P39" s="1"/>
    </row>
    <row r="40" ht="15.75" customHeight="1">
      <c r="A40" s="40"/>
      <c r="B40" s="83"/>
      <c r="J40" s="47"/>
      <c r="K40" s="84"/>
      <c r="L40" s="85" t="b">
        <v>0</v>
      </c>
      <c r="M40" s="86"/>
      <c r="N40" s="87"/>
      <c r="O40" s="88"/>
      <c r="P40" s="1"/>
    </row>
    <row r="41" ht="15.75" customHeight="1">
      <c r="A41" s="40"/>
      <c r="B41" s="83"/>
      <c r="J41" s="47"/>
      <c r="K41" s="84"/>
      <c r="L41" s="85" t="b">
        <v>0</v>
      </c>
      <c r="M41" s="86"/>
      <c r="N41" s="87"/>
      <c r="O41" s="88"/>
      <c r="P41" s="1"/>
    </row>
    <row r="42" ht="15.75" customHeight="1">
      <c r="A42" s="40"/>
      <c r="B42" s="83"/>
      <c r="J42" s="47"/>
      <c r="K42" s="84"/>
      <c r="L42" s="85" t="b">
        <v>0</v>
      </c>
      <c r="M42" s="86"/>
      <c r="N42" s="87"/>
      <c r="O42" s="88"/>
      <c r="P42" s="1"/>
    </row>
    <row r="43" ht="15.75" customHeight="1">
      <c r="A43" s="40"/>
      <c r="B43" s="83"/>
      <c r="J43" s="47"/>
      <c r="K43" s="84"/>
      <c r="L43" s="85" t="b">
        <v>0</v>
      </c>
      <c r="M43" s="86"/>
      <c r="N43" s="87"/>
      <c r="O43" s="88"/>
      <c r="P43" s="1"/>
    </row>
    <row r="44" ht="15.75" customHeight="1">
      <c r="A44" s="40"/>
      <c r="B44" s="83"/>
      <c r="J44" s="47"/>
      <c r="K44" s="84"/>
      <c r="L44" s="85" t="b">
        <v>0</v>
      </c>
      <c r="M44" s="86"/>
      <c r="N44" s="87"/>
      <c r="O44" s="88"/>
      <c r="P44" s="1"/>
    </row>
    <row r="45" ht="15.75" customHeight="1">
      <c r="A45" s="40"/>
      <c r="B45" s="83"/>
      <c r="J45" s="47"/>
      <c r="K45" s="84"/>
      <c r="L45" s="85" t="b">
        <v>0</v>
      </c>
      <c r="M45" s="86"/>
      <c r="N45" s="87"/>
      <c r="O45" s="88"/>
      <c r="P45" s="1"/>
    </row>
    <row r="46" ht="15.75" customHeight="1">
      <c r="A46" s="40"/>
      <c r="B46" s="83"/>
      <c r="J46" s="47"/>
      <c r="K46" s="84"/>
      <c r="L46" s="85" t="b">
        <v>0</v>
      </c>
      <c r="M46" s="86"/>
      <c r="N46" s="87"/>
      <c r="O46" s="88"/>
      <c r="P46" s="1"/>
    </row>
    <row r="47" ht="15.75" customHeight="1">
      <c r="A47" s="40"/>
      <c r="B47" s="83"/>
      <c r="J47" s="47"/>
      <c r="K47" s="84"/>
      <c r="L47" s="85" t="b">
        <v>0</v>
      </c>
      <c r="M47" s="86"/>
      <c r="N47" s="87"/>
      <c r="O47" s="88"/>
      <c r="P47" s="1"/>
    </row>
    <row r="48" ht="15.75" customHeight="1">
      <c r="A48" s="40"/>
      <c r="B48" s="83"/>
      <c r="J48" s="47"/>
      <c r="K48" s="84"/>
      <c r="L48" s="85" t="b">
        <v>0</v>
      </c>
      <c r="M48" s="86"/>
      <c r="N48" s="87"/>
      <c r="O48" s="88"/>
      <c r="P48" s="1"/>
    </row>
    <row r="49" ht="15.75" customHeight="1">
      <c r="A49" s="40"/>
      <c r="B49" s="89"/>
      <c r="C49" s="16"/>
      <c r="D49" s="16"/>
      <c r="E49" s="16"/>
      <c r="F49" s="16"/>
      <c r="G49" s="16"/>
      <c r="H49" s="16"/>
      <c r="I49" s="16"/>
      <c r="J49" s="90"/>
      <c r="K49" s="91"/>
      <c r="L49" s="92" t="b">
        <v>0</v>
      </c>
      <c r="M49" s="93"/>
      <c r="N49" s="94"/>
      <c r="O49" s="95"/>
      <c r="P49" s="40"/>
    </row>
    <row r="50" ht="15.75" customHeight="1">
      <c r="A50" s="40"/>
      <c r="B50" s="96"/>
      <c r="C50" s="96"/>
      <c r="D50" s="96"/>
      <c r="E50" s="96"/>
      <c r="F50" s="96"/>
      <c r="G50" s="96"/>
      <c r="H50" s="96"/>
      <c r="I50" s="1"/>
      <c r="J50" s="1"/>
      <c r="K50" s="1"/>
      <c r="L50" s="1"/>
      <c r="M50" s="1"/>
      <c r="N50" s="97"/>
      <c r="O50" s="97"/>
      <c r="P50" s="40"/>
    </row>
    <row r="51" ht="15.75" customHeight="1">
      <c r="A51" s="40"/>
      <c r="B51" s="98" t="s">
        <v>58</v>
      </c>
      <c r="C51" s="99"/>
      <c r="D51" s="99"/>
      <c r="E51" s="99"/>
      <c r="F51" s="99"/>
      <c r="G51" s="99"/>
      <c r="H51" s="99"/>
      <c r="I51" s="100"/>
      <c r="J51" s="101" t="s">
        <v>59</v>
      </c>
      <c r="K51" s="102"/>
      <c r="L51" s="1"/>
      <c r="M51" s="1"/>
      <c r="N51" s="97"/>
      <c r="O51" s="97"/>
      <c r="P51" s="40"/>
    </row>
    <row r="52" ht="15.75" customHeight="1">
      <c r="A52" s="40"/>
      <c r="B52" s="103" t="s">
        <v>60</v>
      </c>
      <c r="C52" s="104" t="s">
        <v>61</v>
      </c>
      <c r="D52" s="105"/>
      <c r="E52" s="106"/>
      <c r="F52" s="104" t="s">
        <v>62</v>
      </c>
      <c r="G52" s="105"/>
      <c r="H52" s="107"/>
      <c r="I52" s="100"/>
      <c r="J52" s="108" t="s">
        <v>63</v>
      </c>
      <c r="K52" s="109"/>
      <c r="L52" s="110"/>
      <c r="M52" s="111" t="s">
        <v>64</v>
      </c>
      <c r="N52" s="109"/>
      <c r="O52" s="102"/>
      <c r="P52" s="40"/>
    </row>
    <row r="53" ht="15.75" customHeight="1">
      <c r="A53" s="40"/>
      <c r="B53" s="112"/>
      <c r="C53" s="113" t="s">
        <v>65</v>
      </c>
      <c r="D53" s="114" t="s">
        <v>66</v>
      </c>
      <c r="E53" s="115" t="s">
        <v>67</v>
      </c>
      <c r="F53" s="113" t="s">
        <v>65</v>
      </c>
      <c r="G53" s="114" t="s">
        <v>66</v>
      </c>
      <c r="H53" s="116" t="s">
        <v>67</v>
      </c>
      <c r="I53" s="110"/>
      <c r="J53" s="117" t="str">
        <f t="array" ref="J53">GPA({$K$8:$K$49,$M$8:$M$49,$O$8:$O$49},1,2)</f>
        <v>Loading...</v>
      </c>
      <c r="K53" s="118"/>
      <c r="L53" s="110"/>
      <c r="M53" s="119" t="str">
        <f t="array" ref="M53">CREDITSSUM({$K$8:$K$49,$M$8:$M$49},1,2)</f>
        <v>Loading...</v>
      </c>
      <c r="N53" s="118"/>
      <c r="O53" s="120"/>
      <c r="P53" s="40"/>
    </row>
    <row r="54" ht="15.75" customHeight="1">
      <c r="A54" s="40"/>
      <c r="B54" s="121" t="s">
        <v>68</v>
      </c>
      <c r="C54" s="122"/>
      <c r="D54" s="84"/>
      <c r="E54" s="123"/>
      <c r="F54" s="86"/>
      <c r="G54" s="84"/>
      <c r="H54" s="124"/>
      <c r="I54" s="110"/>
      <c r="J54" s="1"/>
      <c r="K54" s="1"/>
      <c r="L54" s="1"/>
      <c r="M54" s="1"/>
      <c r="N54" s="1"/>
      <c r="O54" s="1"/>
      <c r="P54" s="40"/>
    </row>
    <row r="55" ht="15.75" customHeight="1">
      <c r="A55" s="73"/>
      <c r="B55" s="125" t="s">
        <v>69</v>
      </c>
      <c r="C55" s="126"/>
      <c r="D55" s="127"/>
      <c r="E55" s="128"/>
      <c r="F55" s="129"/>
      <c r="G55" s="127"/>
      <c r="H55" s="130"/>
      <c r="I55" s="59"/>
      <c r="K55" s="60"/>
      <c r="L55" s="60"/>
      <c r="M55" s="60"/>
      <c r="N55" s="60"/>
      <c r="O55" s="60"/>
      <c r="P55" s="40"/>
    </row>
    <row r="56" ht="15.75" customHeight="1">
      <c r="A56" s="73"/>
      <c r="I56" s="59"/>
      <c r="K56" s="60"/>
      <c r="L56" s="60"/>
      <c r="M56" s="60"/>
      <c r="N56" s="60"/>
      <c r="O56" s="60"/>
      <c r="P56" s="40"/>
    </row>
    <row r="57" ht="15.75" customHeight="1">
      <c r="A57" s="73"/>
      <c r="I57" s="59"/>
      <c r="J57" s="59"/>
      <c r="K57" s="60"/>
      <c r="L57" s="60"/>
      <c r="M57" s="60"/>
      <c r="N57" s="60"/>
      <c r="O57" s="60"/>
      <c r="P57" s="40"/>
    </row>
    <row r="58" ht="15.75" customHeight="1">
      <c r="A58" s="40"/>
      <c r="B58" s="96"/>
      <c r="C58" s="96"/>
      <c r="D58" s="96"/>
      <c r="E58" s="96"/>
      <c r="F58" s="96"/>
      <c r="G58" s="96"/>
      <c r="H58" s="96"/>
      <c r="I58" s="97"/>
      <c r="J58" s="97"/>
      <c r="K58" s="97"/>
      <c r="L58" s="131"/>
      <c r="M58" s="97"/>
      <c r="N58" s="97"/>
      <c r="O58" s="97"/>
      <c r="P58" s="40"/>
    </row>
    <row r="59" ht="15.75" customHeight="1">
      <c r="A59" s="40"/>
      <c r="B59" s="96"/>
      <c r="C59" s="96"/>
      <c r="D59" s="96"/>
      <c r="E59" s="96"/>
      <c r="F59" s="96"/>
      <c r="G59" s="96"/>
      <c r="H59" s="96"/>
      <c r="I59" s="97"/>
      <c r="J59" s="97"/>
      <c r="K59" s="97"/>
      <c r="L59" s="131"/>
      <c r="M59" s="97"/>
      <c r="N59" s="97"/>
      <c r="O59" s="97"/>
      <c r="P59" s="40"/>
    </row>
  </sheetData>
  <mergeCells count="71">
    <mergeCell ref="B40:J40"/>
    <mergeCell ref="B41:J41"/>
    <mergeCell ref="B42:J42"/>
    <mergeCell ref="B43:J43"/>
    <mergeCell ref="B44:J44"/>
    <mergeCell ref="B45:J45"/>
    <mergeCell ref="B46:J46"/>
    <mergeCell ref="J52:K52"/>
    <mergeCell ref="M52:O52"/>
    <mergeCell ref="M53:O53"/>
    <mergeCell ref="I55:J55"/>
    <mergeCell ref="I56:J56"/>
    <mergeCell ref="B47:J47"/>
    <mergeCell ref="B48:J48"/>
    <mergeCell ref="B49:J49"/>
    <mergeCell ref="J51:K51"/>
    <mergeCell ref="B52:B53"/>
    <mergeCell ref="C52:E52"/>
    <mergeCell ref="F52:H52"/>
    <mergeCell ref="J53:K53"/>
    <mergeCell ref="C1:H1"/>
    <mergeCell ref="I1:O1"/>
    <mergeCell ref="C2:E2"/>
    <mergeCell ref="F2:H2"/>
    <mergeCell ref="I2:J2"/>
    <mergeCell ref="K2:O2"/>
    <mergeCell ref="C3:E3"/>
    <mergeCell ref="K3:O3"/>
    <mergeCell ref="F3:H3"/>
    <mergeCell ref="I3:J3"/>
    <mergeCell ref="C4:E4"/>
    <mergeCell ref="F4:H4"/>
    <mergeCell ref="I4:J4"/>
    <mergeCell ref="K4:O4"/>
    <mergeCell ref="C5:E6"/>
    <mergeCell ref="K5:O6"/>
    <mergeCell ref="F5:H6"/>
    <mergeCell ref="I5:J6"/>
    <mergeCell ref="B7:J7"/>
    <mergeCell ref="B8:J8"/>
    <mergeCell ref="B9:J9"/>
    <mergeCell ref="B10:J10"/>
    <mergeCell ref="B11:J11"/>
    <mergeCell ref="B12:J12"/>
    <mergeCell ref="B13:J13"/>
    <mergeCell ref="B14:J14"/>
    <mergeCell ref="B15:J15"/>
    <mergeCell ref="B16:J16"/>
    <mergeCell ref="B17:J17"/>
    <mergeCell ref="B18:J18"/>
    <mergeCell ref="B19:J19"/>
    <mergeCell ref="B20:J20"/>
    <mergeCell ref="B21:J21"/>
    <mergeCell ref="B22:J22"/>
    <mergeCell ref="B23:J23"/>
    <mergeCell ref="B24:J24"/>
    <mergeCell ref="B25:J25"/>
    <mergeCell ref="B26:J26"/>
    <mergeCell ref="B27:J27"/>
    <mergeCell ref="B28:J28"/>
    <mergeCell ref="B29:J29"/>
    <mergeCell ref="B30:J30"/>
    <mergeCell ref="B31:J31"/>
    <mergeCell ref="B32:J32"/>
    <mergeCell ref="B33:J33"/>
    <mergeCell ref="B34:J34"/>
    <mergeCell ref="B35:J35"/>
    <mergeCell ref="B36:J36"/>
    <mergeCell ref="B37:J37"/>
    <mergeCell ref="B38:J38"/>
    <mergeCell ref="B39:J39"/>
  </mergeCells>
  <dataValidations>
    <dataValidation type="custom" allowBlank="1" showDropDown="1" showInputMessage="1" showErrorMessage="1" prompt="Enter a number" sqref="K8:K48 O8:O49">
      <formula1>ISNUMBER(K8)</formula1>
    </dataValidation>
    <dataValidation type="list" allowBlank="1" showInputMessage="1" showErrorMessage="1" prompt="Click and enter a valid scale from the list of items. The valid scales are Letter, 0-100, 0-4, and None" sqref="B3">
      <formula1>"Letter,0-4,0-100,None"</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8.88"/>
    <col customWidth="1" min="3" max="8" width="6.38"/>
    <col customWidth="1" hidden="1" min="9" max="9" width="18.88"/>
    <col customWidth="1" min="10" max="10" width="18.88"/>
    <col customWidth="1" min="11" max="11" width="6.38"/>
    <col customWidth="1" hidden="1" min="12" max="12" width="18.88"/>
    <col customWidth="1" min="13" max="13" width="6.38"/>
    <col customWidth="1" hidden="1" min="14" max="14" width="6.38"/>
    <col customWidth="1" min="15" max="15" width="6.38"/>
  </cols>
  <sheetData>
    <row r="1" ht="31.5" customHeight="1">
      <c r="A1" s="58"/>
      <c r="B1" s="1"/>
      <c r="C1" s="71" t="s">
        <v>5</v>
      </c>
      <c r="I1" s="58" t="s">
        <v>6</v>
      </c>
      <c r="P1" s="72"/>
    </row>
    <row r="2" ht="15.75" customHeight="1">
      <c r="A2" s="73"/>
      <c r="B2" s="74" t="s">
        <v>50</v>
      </c>
      <c r="C2" s="59" t="s">
        <v>8</v>
      </c>
      <c r="F2" s="60" t="str">
        <f>'Getting Started'!$G$10</f>
        <v/>
      </c>
      <c r="I2" s="59" t="s">
        <v>9</v>
      </c>
      <c r="K2" s="60" t="str">
        <f>'Getting Started'!$I$10</f>
        <v/>
      </c>
      <c r="P2" s="40"/>
    </row>
    <row r="3" ht="15.75" customHeight="1">
      <c r="A3" s="73"/>
      <c r="B3" s="75" t="s">
        <v>51</v>
      </c>
      <c r="C3" s="59" t="s">
        <v>11</v>
      </c>
      <c r="F3" s="61" t="str">
        <f>'Getting Started'!$G$11</f>
        <v/>
      </c>
      <c r="I3" s="59" t="s">
        <v>12</v>
      </c>
      <c r="K3" s="60" t="str">
        <f>'Getting Started'!$I$11</f>
        <v/>
      </c>
      <c r="P3" s="40"/>
    </row>
    <row r="4" ht="31.5" customHeight="1">
      <c r="A4" s="73"/>
      <c r="B4" s="1"/>
      <c r="C4" s="59" t="s">
        <v>13</v>
      </c>
      <c r="F4" s="60" t="str">
        <f>'Getting Started'!$G$12</f>
        <v/>
      </c>
      <c r="I4" s="59" t="s">
        <v>14</v>
      </c>
      <c r="K4" s="60" t="str">
        <f>'Getting Started'!$I$12</f>
        <v/>
      </c>
      <c r="P4" s="40"/>
    </row>
    <row r="5" ht="15.75" customHeight="1">
      <c r="A5" s="73"/>
      <c r="B5" s="1"/>
      <c r="C5" s="59" t="s">
        <v>15</v>
      </c>
      <c r="F5" s="62" t="str">
        <f>'Getting Started'!$G$14</f>
        <v/>
      </c>
      <c r="I5" s="59" t="s">
        <v>16</v>
      </c>
      <c r="K5" s="60" t="str">
        <f>'Getting Started'!$I$14</f>
        <v/>
      </c>
      <c r="P5" s="40"/>
    </row>
    <row r="6" ht="15.75" customHeight="1">
      <c r="A6" s="73"/>
      <c r="B6" s="19" t="s">
        <v>52</v>
      </c>
      <c r="P6" s="40"/>
    </row>
    <row r="7" ht="31.5" customHeight="1">
      <c r="A7" s="40"/>
      <c r="B7" s="76" t="s">
        <v>53</v>
      </c>
      <c r="C7" s="8"/>
      <c r="D7" s="8"/>
      <c r="E7" s="8"/>
      <c r="F7" s="8"/>
      <c r="G7" s="8"/>
      <c r="H7" s="8"/>
      <c r="I7" s="8"/>
      <c r="J7" s="77"/>
      <c r="K7" s="78" t="s">
        <v>54</v>
      </c>
      <c r="L7" s="79" t="s">
        <v>55</v>
      </c>
      <c r="M7" s="80" t="s">
        <v>56</v>
      </c>
      <c r="N7" s="81"/>
      <c r="O7" s="82" t="s">
        <v>57</v>
      </c>
      <c r="P7" s="1"/>
    </row>
    <row r="8" ht="15.75" customHeight="1">
      <c r="A8" s="40"/>
      <c r="B8" s="83"/>
      <c r="J8" s="47"/>
      <c r="K8" s="84"/>
      <c r="L8" s="85" t="b">
        <v>0</v>
      </c>
      <c r="M8" s="86"/>
      <c r="N8" s="87"/>
      <c r="O8" s="88"/>
      <c r="P8" s="1"/>
    </row>
    <row r="9" ht="15.75" customHeight="1">
      <c r="A9" s="40"/>
      <c r="B9" s="83"/>
      <c r="J9" s="47"/>
      <c r="K9" s="84"/>
      <c r="L9" s="85" t="b">
        <v>0</v>
      </c>
      <c r="M9" s="86"/>
      <c r="N9" s="87"/>
      <c r="O9" s="88"/>
      <c r="P9" s="1"/>
    </row>
    <row r="10" ht="15.75" customHeight="1">
      <c r="A10" s="40"/>
      <c r="B10" s="83"/>
      <c r="J10" s="47"/>
      <c r="K10" s="84"/>
      <c r="L10" s="85" t="b">
        <v>0</v>
      </c>
      <c r="M10" s="86"/>
      <c r="N10" s="87"/>
      <c r="O10" s="88"/>
      <c r="P10" s="1"/>
    </row>
    <row r="11" ht="15.75" customHeight="1">
      <c r="A11" s="40"/>
      <c r="B11" s="83"/>
      <c r="J11" s="47"/>
      <c r="K11" s="84"/>
      <c r="L11" s="85" t="b">
        <v>0</v>
      </c>
      <c r="M11" s="86"/>
      <c r="N11" s="87"/>
      <c r="O11" s="88"/>
      <c r="P11" s="1"/>
    </row>
    <row r="12" ht="15.75" customHeight="1">
      <c r="A12" s="40"/>
      <c r="B12" s="83"/>
      <c r="J12" s="47"/>
      <c r="K12" s="84"/>
      <c r="L12" s="85" t="b">
        <v>0</v>
      </c>
      <c r="M12" s="86"/>
      <c r="N12" s="87"/>
      <c r="O12" s="88"/>
      <c r="P12" s="1"/>
    </row>
    <row r="13" ht="15.75" customHeight="1">
      <c r="A13" s="40"/>
      <c r="B13" s="83"/>
      <c r="J13" s="47"/>
      <c r="K13" s="84"/>
      <c r="L13" s="85" t="b">
        <v>0</v>
      </c>
      <c r="M13" s="86"/>
      <c r="N13" s="87"/>
      <c r="O13" s="88"/>
      <c r="P13" s="1"/>
    </row>
    <row r="14" ht="15.75" customHeight="1">
      <c r="A14" s="40"/>
      <c r="B14" s="83"/>
      <c r="J14" s="47"/>
      <c r="K14" s="84"/>
      <c r="L14" s="85" t="b">
        <v>0</v>
      </c>
      <c r="M14" s="86"/>
      <c r="N14" s="87"/>
      <c r="O14" s="88"/>
      <c r="P14" s="1"/>
    </row>
    <row r="15" ht="15.75" customHeight="1">
      <c r="A15" s="40"/>
      <c r="B15" s="83"/>
      <c r="J15" s="47"/>
      <c r="K15" s="84"/>
      <c r="L15" s="85" t="b">
        <v>0</v>
      </c>
      <c r="M15" s="86"/>
      <c r="N15" s="87"/>
      <c r="O15" s="88"/>
      <c r="P15" s="1"/>
    </row>
    <row r="16" ht="15.75" customHeight="1">
      <c r="A16" s="40"/>
      <c r="B16" s="83"/>
      <c r="J16" s="47"/>
      <c r="K16" s="84"/>
      <c r="L16" s="85" t="b">
        <v>0</v>
      </c>
      <c r="M16" s="86"/>
      <c r="N16" s="87"/>
      <c r="O16" s="88"/>
      <c r="P16" s="1"/>
    </row>
    <row r="17" ht="15.75" customHeight="1">
      <c r="A17" s="40"/>
      <c r="B17" s="83"/>
      <c r="J17" s="47"/>
      <c r="K17" s="84"/>
      <c r="L17" s="85" t="b">
        <v>0</v>
      </c>
      <c r="M17" s="86"/>
      <c r="N17" s="87"/>
      <c r="O17" s="88"/>
      <c r="P17" s="1"/>
    </row>
    <row r="18" ht="15.75" customHeight="1">
      <c r="A18" s="40"/>
      <c r="B18" s="83"/>
      <c r="J18" s="47"/>
      <c r="K18" s="84"/>
      <c r="L18" s="85" t="b">
        <v>0</v>
      </c>
      <c r="M18" s="86"/>
      <c r="N18" s="87"/>
      <c r="O18" s="88"/>
      <c r="P18" s="1"/>
    </row>
    <row r="19" ht="15.75" customHeight="1">
      <c r="A19" s="40"/>
      <c r="B19" s="83"/>
      <c r="J19" s="47"/>
      <c r="K19" s="84"/>
      <c r="L19" s="85" t="b">
        <v>0</v>
      </c>
      <c r="M19" s="86"/>
      <c r="N19" s="87"/>
      <c r="O19" s="88"/>
      <c r="P19" s="1"/>
    </row>
    <row r="20" ht="15.75" customHeight="1">
      <c r="A20" s="40"/>
      <c r="B20" s="83"/>
      <c r="J20" s="47"/>
      <c r="K20" s="84"/>
      <c r="L20" s="85" t="b">
        <v>0</v>
      </c>
      <c r="M20" s="86"/>
      <c r="N20" s="87"/>
      <c r="O20" s="88"/>
      <c r="P20" s="1"/>
    </row>
    <row r="21" ht="15.75" customHeight="1">
      <c r="A21" s="40"/>
      <c r="B21" s="83"/>
      <c r="J21" s="47"/>
      <c r="K21" s="84"/>
      <c r="L21" s="85" t="b">
        <v>0</v>
      </c>
      <c r="M21" s="86"/>
      <c r="N21" s="87"/>
      <c r="O21" s="88"/>
      <c r="P21" s="1"/>
    </row>
    <row r="22" ht="15.75" customHeight="1">
      <c r="A22" s="40"/>
      <c r="B22" s="83"/>
      <c r="J22" s="47"/>
      <c r="K22" s="84"/>
      <c r="L22" s="85" t="b">
        <v>0</v>
      </c>
      <c r="M22" s="86"/>
      <c r="N22" s="87"/>
      <c r="O22" s="88"/>
      <c r="P22" s="1"/>
    </row>
    <row r="23" ht="15.75" customHeight="1">
      <c r="A23" s="40"/>
      <c r="B23" s="83"/>
      <c r="J23" s="47"/>
      <c r="K23" s="84"/>
      <c r="L23" s="85" t="b">
        <v>0</v>
      </c>
      <c r="M23" s="86"/>
      <c r="N23" s="87"/>
      <c r="O23" s="88"/>
      <c r="P23" s="1"/>
    </row>
    <row r="24" ht="15.75" customHeight="1">
      <c r="A24" s="40"/>
      <c r="B24" s="83"/>
      <c r="J24" s="47"/>
      <c r="K24" s="84"/>
      <c r="L24" s="85" t="b">
        <v>0</v>
      </c>
      <c r="M24" s="86"/>
      <c r="N24" s="87"/>
      <c r="O24" s="88"/>
      <c r="P24" s="1"/>
    </row>
    <row r="25" ht="15.75" customHeight="1">
      <c r="A25" s="40"/>
      <c r="B25" s="83"/>
      <c r="J25" s="47"/>
      <c r="K25" s="84"/>
      <c r="L25" s="85" t="b">
        <v>0</v>
      </c>
      <c r="M25" s="86"/>
      <c r="N25" s="87"/>
      <c r="O25" s="88"/>
      <c r="P25" s="1"/>
    </row>
    <row r="26" ht="15.75" customHeight="1">
      <c r="A26" s="40"/>
      <c r="B26" s="83"/>
      <c r="J26" s="47"/>
      <c r="K26" s="84"/>
      <c r="L26" s="85" t="b">
        <v>0</v>
      </c>
      <c r="M26" s="86"/>
      <c r="N26" s="87"/>
      <c r="O26" s="88"/>
      <c r="P26" s="1"/>
    </row>
    <row r="27" ht="15.75" customHeight="1">
      <c r="A27" s="40"/>
      <c r="B27" s="83"/>
      <c r="J27" s="47"/>
      <c r="K27" s="84"/>
      <c r="L27" s="85" t="b">
        <v>0</v>
      </c>
      <c r="M27" s="86"/>
      <c r="N27" s="87"/>
      <c r="O27" s="88"/>
      <c r="P27" s="1"/>
    </row>
    <row r="28" ht="15.75" customHeight="1">
      <c r="A28" s="40"/>
      <c r="B28" s="83"/>
      <c r="J28" s="47"/>
      <c r="K28" s="84"/>
      <c r="L28" s="85" t="b">
        <v>0</v>
      </c>
      <c r="M28" s="86"/>
      <c r="N28" s="87"/>
      <c r="O28" s="88"/>
      <c r="P28" s="1"/>
    </row>
    <row r="29" ht="15.75" customHeight="1">
      <c r="A29" s="40"/>
      <c r="B29" s="83"/>
      <c r="J29" s="47"/>
      <c r="K29" s="84"/>
      <c r="L29" s="85" t="b">
        <v>0</v>
      </c>
      <c r="M29" s="86"/>
      <c r="N29" s="87"/>
      <c r="O29" s="88"/>
      <c r="P29" s="1"/>
    </row>
    <row r="30" ht="15.75" customHeight="1">
      <c r="A30" s="40"/>
      <c r="B30" s="83"/>
      <c r="J30" s="47"/>
      <c r="K30" s="84"/>
      <c r="L30" s="85" t="b">
        <v>0</v>
      </c>
      <c r="M30" s="86"/>
      <c r="N30" s="87"/>
      <c r="O30" s="88"/>
      <c r="P30" s="1"/>
    </row>
    <row r="31" ht="15.75" customHeight="1">
      <c r="A31" s="40"/>
      <c r="B31" s="83"/>
      <c r="J31" s="47"/>
      <c r="K31" s="84"/>
      <c r="L31" s="85" t="b">
        <v>0</v>
      </c>
      <c r="M31" s="86"/>
      <c r="N31" s="87"/>
      <c r="O31" s="88"/>
      <c r="P31" s="1"/>
    </row>
    <row r="32" ht="15.75" customHeight="1">
      <c r="A32" s="40"/>
      <c r="B32" s="83"/>
      <c r="J32" s="47"/>
      <c r="K32" s="84"/>
      <c r="L32" s="85" t="b">
        <v>0</v>
      </c>
      <c r="M32" s="86"/>
      <c r="N32" s="87"/>
      <c r="O32" s="88"/>
      <c r="P32" s="1"/>
    </row>
    <row r="33" ht="15.75" customHeight="1">
      <c r="A33" s="40"/>
      <c r="B33" s="83"/>
      <c r="J33" s="47"/>
      <c r="K33" s="84"/>
      <c r="L33" s="85" t="b">
        <v>0</v>
      </c>
      <c r="M33" s="86"/>
      <c r="N33" s="87"/>
      <c r="O33" s="88"/>
      <c r="P33" s="1"/>
    </row>
    <row r="34" ht="15.75" customHeight="1">
      <c r="A34" s="40"/>
      <c r="B34" s="83"/>
      <c r="J34" s="47"/>
      <c r="K34" s="84"/>
      <c r="L34" s="85" t="b">
        <v>0</v>
      </c>
      <c r="M34" s="86"/>
      <c r="N34" s="87"/>
      <c r="O34" s="88"/>
      <c r="P34" s="1"/>
    </row>
    <row r="35" ht="15.75" customHeight="1">
      <c r="A35" s="40"/>
      <c r="B35" s="83"/>
      <c r="J35" s="47"/>
      <c r="K35" s="84"/>
      <c r="L35" s="85" t="b">
        <v>0</v>
      </c>
      <c r="M35" s="86"/>
      <c r="N35" s="87"/>
      <c r="O35" s="88"/>
      <c r="P35" s="1"/>
    </row>
    <row r="36" ht="15.75" customHeight="1">
      <c r="A36" s="40"/>
      <c r="B36" s="83"/>
      <c r="J36" s="47"/>
      <c r="K36" s="84"/>
      <c r="L36" s="85" t="b">
        <v>0</v>
      </c>
      <c r="M36" s="86"/>
      <c r="N36" s="87"/>
      <c r="O36" s="88"/>
      <c r="P36" s="1"/>
    </row>
    <row r="37" ht="15.75" customHeight="1">
      <c r="A37" s="40"/>
      <c r="B37" s="83"/>
      <c r="J37" s="47"/>
      <c r="K37" s="84"/>
      <c r="L37" s="85" t="b">
        <v>0</v>
      </c>
      <c r="M37" s="86"/>
      <c r="N37" s="87"/>
      <c r="O37" s="88"/>
      <c r="P37" s="1"/>
    </row>
    <row r="38" ht="15.75" customHeight="1">
      <c r="A38" s="40"/>
      <c r="B38" s="83"/>
      <c r="J38" s="47"/>
      <c r="K38" s="84"/>
      <c r="L38" s="85" t="b">
        <v>0</v>
      </c>
      <c r="M38" s="86"/>
      <c r="N38" s="87"/>
      <c r="O38" s="88"/>
      <c r="P38" s="1"/>
    </row>
    <row r="39" ht="15.75" customHeight="1">
      <c r="A39" s="40"/>
      <c r="B39" s="83"/>
      <c r="J39" s="47"/>
      <c r="K39" s="84"/>
      <c r="L39" s="85" t="b">
        <v>0</v>
      </c>
      <c r="M39" s="86"/>
      <c r="N39" s="87"/>
      <c r="O39" s="88"/>
      <c r="P39" s="1"/>
    </row>
    <row r="40" ht="15.75" customHeight="1">
      <c r="A40" s="40"/>
      <c r="B40" s="83"/>
      <c r="J40" s="47"/>
      <c r="K40" s="84"/>
      <c r="L40" s="85" t="b">
        <v>0</v>
      </c>
      <c r="M40" s="86"/>
      <c r="N40" s="87"/>
      <c r="O40" s="88"/>
      <c r="P40" s="1"/>
    </row>
    <row r="41" ht="15.75" customHeight="1">
      <c r="A41" s="40"/>
      <c r="B41" s="83"/>
      <c r="J41" s="47"/>
      <c r="K41" s="84"/>
      <c r="L41" s="85" t="b">
        <v>0</v>
      </c>
      <c r="M41" s="86"/>
      <c r="N41" s="87"/>
      <c r="O41" s="88"/>
      <c r="P41" s="1"/>
    </row>
    <row r="42" ht="15.75" customHeight="1">
      <c r="A42" s="40"/>
      <c r="B42" s="83"/>
      <c r="J42" s="47"/>
      <c r="K42" s="84"/>
      <c r="L42" s="85" t="b">
        <v>0</v>
      </c>
      <c r="M42" s="86"/>
      <c r="N42" s="87"/>
      <c r="O42" s="88"/>
      <c r="P42" s="1"/>
    </row>
    <row r="43" ht="15.75" customHeight="1">
      <c r="A43" s="40"/>
      <c r="B43" s="83"/>
      <c r="J43" s="47"/>
      <c r="K43" s="84"/>
      <c r="L43" s="85" t="b">
        <v>0</v>
      </c>
      <c r="M43" s="86"/>
      <c r="N43" s="87"/>
      <c r="O43" s="88"/>
      <c r="P43" s="1"/>
    </row>
    <row r="44" ht="15.75" customHeight="1">
      <c r="A44" s="40"/>
      <c r="B44" s="83"/>
      <c r="J44" s="47"/>
      <c r="K44" s="84"/>
      <c r="L44" s="85" t="b">
        <v>0</v>
      </c>
      <c r="M44" s="86"/>
      <c r="N44" s="87"/>
      <c r="O44" s="88"/>
      <c r="P44" s="1"/>
    </row>
    <row r="45" ht="15.75" customHeight="1">
      <c r="A45" s="40"/>
      <c r="B45" s="83"/>
      <c r="J45" s="47"/>
      <c r="K45" s="84"/>
      <c r="L45" s="85" t="b">
        <v>0</v>
      </c>
      <c r="M45" s="86"/>
      <c r="N45" s="87"/>
      <c r="O45" s="88"/>
      <c r="P45" s="1"/>
    </row>
    <row r="46" ht="15.75" customHeight="1">
      <c r="A46" s="40"/>
      <c r="B46" s="83"/>
      <c r="J46" s="47"/>
      <c r="K46" s="84"/>
      <c r="L46" s="85" t="b">
        <v>0</v>
      </c>
      <c r="M46" s="86"/>
      <c r="N46" s="87"/>
      <c r="O46" s="88"/>
      <c r="P46" s="1"/>
    </row>
    <row r="47" ht="15.75" customHeight="1">
      <c r="A47" s="40"/>
      <c r="B47" s="83"/>
      <c r="J47" s="47"/>
      <c r="K47" s="84"/>
      <c r="L47" s="85" t="b">
        <v>0</v>
      </c>
      <c r="M47" s="86"/>
      <c r="N47" s="87"/>
      <c r="O47" s="88"/>
      <c r="P47" s="1"/>
    </row>
    <row r="48" ht="15.75" customHeight="1">
      <c r="A48" s="40"/>
      <c r="B48" s="83"/>
      <c r="J48" s="47"/>
      <c r="K48" s="84"/>
      <c r="L48" s="85" t="b">
        <v>0</v>
      </c>
      <c r="M48" s="86"/>
      <c r="N48" s="87"/>
      <c r="O48" s="88"/>
      <c r="P48" s="1"/>
    </row>
    <row r="49" ht="15.75" customHeight="1">
      <c r="A49" s="40"/>
      <c r="B49" s="89"/>
      <c r="C49" s="16"/>
      <c r="D49" s="16"/>
      <c r="E49" s="16"/>
      <c r="F49" s="16"/>
      <c r="G49" s="16"/>
      <c r="H49" s="16"/>
      <c r="I49" s="16"/>
      <c r="J49" s="90"/>
      <c r="K49" s="91"/>
      <c r="L49" s="92" t="b">
        <v>0</v>
      </c>
      <c r="M49" s="93"/>
      <c r="N49" s="94"/>
      <c r="O49" s="95"/>
      <c r="P49" s="40"/>
    </row>
    <row r="50" ht="15.75" customHeight="1">
      <c r="A50" s="40"/>
      <c r="B50" s="96"/>
      <c r="C50" s="96"/>
      <c r="D50" s="96"/>
      <c r="E50" s="96"/>
      <c r="F50" s="96"/>
      <c r="G50" s="96"/>
      <c r="H50" s="96"/>
      <c r="I50" s="1"/>
      <c r="J50" s="1"/>
      <c r="K50" s="1"/>
      <c r="L50" s="1"/>
      <c r="M50" s="1"/>
      <c r="N50" s="97"/>
      <c r="O50" s="97"/>
      <c r="P50" s="40"/>
    </row>
    <row r="51" ht="15.75" customHeight="1">
      <c r="A51" s="40"/>
      <c r="B51" s="98" t="s">
        <v>58</v>
      </c>
      <c r="C51" s="99"/>
      <c r="D51" s="99"/>
      <c r="E51" s="99"/>
      <c r="F51" s="99"/>
      <c r="G51" s="99"/>
      <c r="H51" s="99"/>
      <c r="I51" s="100"/>
      <c r="J51" s="101" t="s">
        <v>59</v>
      </c>
      <c r="K51" s="102"/>
      <c r="L51" s="1"/>
      <c r="M51" s="1"/>
      <c r="N51" s="97"/>
      <c r="O51" s="97"/>
      <c r="P51" s="40"/>
    </row>
    <row r="52" ht="15.75" customHeight="1">
      <c r="A52" s="40"/>
      <c r="B52" s="103" t="s">
        <v>60</v>
      </c>
      <c r="C52" s="104" t="s">
        <v>61</v>
      </c>
      <c r="D52" s="105"/>
      <c r="E52" s="106"/>
      <c r="F52" s="104" t="s">
        <v>62</v>
      </c>
      <c r="G52" s="105"/>
      <c r="H52" s="107"/>
      <c r="I52" s="100"/>
      <c r="J52" s="108" t="s">
        <v>63</v>
      </c>
      <c r="K52" s="109"/>
      <c r="L52" s="110"/>
      <c r="M52" s="111" t="s">
        <v>64</v>
      </c>
      <c r="N52" s="109"/>
      <c r="O52" s="102"/>
      <c r="P52" s="40"/>
    </row>
    <row r="53" ht="15.75" customHeight="1">
      <c r="A53" s="40"/>
      <c r="B53" s="112"/>
      <c r="C53" s="113" t="s">
        <v>65</v>
      </c>
      <c r="D53" s="114" t="s">
        <v>66</v>
      </c>
      <c r="E53" s="115" t="s">
        <v>67</v>
      </c>
      <c r="F53" s="113" t="s">
        <v>65</v>
      </c>
      <c r="G53" s="114" t="s">
        <v>66</v>
      </c>
      <c r="H53" s="116" t="s">
        <v>67</v>
      </c>
      <c r="I53" s="110"/>
      <c r="J53" s="117" t="str">
        <f t="array" ref="J53">GPA({$K$8:$K$49,$M$8:$M$49,$O$8:$O$49},1,2)</f>
        <v>Loading...</v>
      </c>
      <c r="K53" s="118"/>
      <c r="L53" s="110"/>
      <c r="M53" s="119" t="str">
        <f t="array" ref="M53">CREDITSSUM({$K$8:$K$49,$M$8:$M$49},1,2)</f>
        <v>Loading...</v>
      </c>
      <c r="N53" s="118"/>
      <c r="O53" s="120"/>
      <c r="P53" s="40"/>
    </row>
    <row r="54" ht="15.75" customHeight="1">
      <c r="A54" s="40"/>
      <c r="B54" s="121" t="s">
        <v>68</v>
      </c>
      <c r="C54" s="122"/>
      <c r="D54" s="84"/>
      <c r="E54" s="123"/>
      <c r="F54" s="86"/>
      <c r="G54" s="84"/>
      <c r="H54" s="124"/>
      <c r="I54" s="110"/>
      <c r="J54" s="1"/>
      <c r="K54" s="1"/>
      <c r="L54" s="1"/>
      <c r="M54" s="1"/>
      <c r="N54" s="1"/>
      <c r="O54" s="1"/>
      <c r="P54" s="40"/>
    </row>
    <row r="55" ht="15.75" customHeight="1">
      <c r="A55" s="73"/>
      <c r="B55" s="125" t="s">
        <v>69</v>
      </c>
      <c r="C55" s="126"/>
      <c r="D55" s="127"/>
      <c r="E55" s="128"/>
      <c r="F55" s="129"/>
      <c r="G55" s="127"/>
      <c r="H55" s="130"/>
      <c r="I55" s="59"/>
      <c r="K55" s="60"/>
      <c r="L55" s="60"/>
      <c r="M55" s="60"/>
      <c r="N55" s="60"/>
      <c r="O55" s="60"/>
      <c r="P55" s="40"/>
    </row>
    <row r="56" ht="15.75" customHeight="1">
      <c r="A56" s="73"/>
      <c r="I56" s="59"/>
      <c r="K56" s="60"/>
      <c r="L56" s="60"/>
      <c r="M56" s="60"/>
      <c r="N56" s="60"/>
      <c r="O56" s="60"/>
      <c r="P56" s="40"/>
    </row>
    <row r="57" ht="15.75" customHeight="1">
      <c r="A57" s="73"/>
      <c r="I57" s="59"/>
      <c r="J57" s="59"/>
      <c r="K57" s="60"/>
      <c r="L57" s="60"/>
      <c r="M57" s="60"/>
      <c r="N57" s="60"/>
      <c r="O57" s="60"/>
      <c r="P57" s="40"/>
    </row>
    <row r="58" ht="15.75" customHeight="1">
      <c r="A58" s="40"/>
      <c r="B58" s="96"/>
      <c r="C58" s="96"/>
      <c r="D58" s="96"/>
      <c r="E58" s="96"/>
      <c r="F58" s="96"/>
      <c r="G58" s="96"/>
      <c r="H58" s="96"/>
      <c r="I58" s="97"/>
      <c r="J58" s="97"/>
      <c r="K58" s="97"/>
      <c r="L58" s="131"/>
      <c r="M58" s="97"/>
      <c r="N58" s="97"/>
      <c r="O58" s="97"/>
      <c r="P58" s="40"/>
    </row>
    <row r="59" ht="15.75" customHeight="1">
      <c r="A59" s="40"/>
      <c r="B59" s="96"/>
      <c r="C59" s="96"/>
      <c r="D59" s="96"/>
      <c r="E59" s="96"/>
      <c r="F59" s="96"/>
      <c r="G59" s="96"/>
      <c r="H59" s="96"/>
      <c r="I59" s="97"/>
      <c r="J59" s="97"/>
      <c r="K59" s="97"/>
      <c r="L59" s="131"/>
      <c r="M59" s="97"/>
      <c r="N59" s="97"/>
      <c r="O59" s="97"/>
      <c r="P59" s="40"/>
    </row>
  </sheetData>
  <mergeCells count="71">
    <mergeCell ref="B40:J40"/>
    <mergeCell ref="B41:J41"/>
    <mergeCell ref="B42:J42"/>
    <mergeCell ref="B43:J43"/>
    <mergeCell ref="B44:J44"/>
    <mergeCell ref="B45:J45"/>
    <mergeCell ref="B46:J46"/>
    <mergeCell ref="J52:K52"/>
    <mergeCell ref="M52:O52"/>
    <mergeCell ref="M53:O53"/>
    <mergeCell ref="I55:J55"/>
    <mergeCell ref="I56:J56"/>
    <mergeCell ref="B47:J47"/>
    <mergeCell ref="B48:J48"/>
    <mergeCell ref="B49:J49"/>
    <mergeCell ref="J51:K51"/>
    <mergeCell ref="B52:B53"/>
    <mergeCell ref="C52:E52"/>
    <mergeCell ref="F52:H52"/>
    <mergeCell ref="J53:K53"/>
    <mergeCell ref="C1:H1"/>
    <mergeCell ref="I1:O1"/>
    <mergeCell ref="C2:E2"/>
    <mergeCell ref="F2:H2"/>
    <mergeCell ref="I2:J2"/>
    <mergeCell ref="K2:O2"/>
    <mergeCell ref="C3:E3"/>
    <mergeCell ref="K3:O3"/>
    <mergeCell ref="F3:H3"/>
    <mergeCell ref="I3:J3"/>
    <mergeCell ref="C4:E4"/>
    <mergeCell ref="F4:H4"/>
    <mergeCell ref="I4:J4"/>
    <mergeCell ref="K4:O4"/>
    <mergeCell ref="C5:E6"/>
    <mergeCell ref="K5:O6"/>
    <mergeCell ref="F5:H6"/>
    <mergeCell ref="I5:J6"/>
    <mergeCell ref="B7:J7"/>
    <mergeCell ref="B8:J8"/>
    <mergeCell ref="B9:J9"/>
    <mergeCell ref="B10:J10"/>
    <mergeCell ref="B11:J11"/>
    <mergeCell ref="B12:J12"/>
    <mergeCell ref="B13:J13"/>
    <mergeCell ref="B14:J14"/>
    <mergeCell ref="B15:J15"/>
    <mergeCell ref="B16:J16"/>
    <mergeCell ref="B17:J17"/>
    <mergeCell ref="B18:J18"/>
    <mergeCell ref="B19:J19"/>
    <mergeCell ref="B20:J20"/>
    <mergeCell ref="B21:J21"/>
    <mergeCell ref="B22:J22"/>
    <mergeCell ref="B23:J23"/>
    <mergeCell ref="B24:J24"/>
    <mergeCell ref="B25:J25"/>
    <mergeCell ref="B26:J26"/>
    <mergeCell ref="B27:J27"/>
    <mergeCell ref="B28:J28"/>
    <mergeCell ref="B29:J29"/>
    <mergeCell ref="B30:J30"/>
    <mergeCell ref="B31:J31"/>
    <mergeCell ref="B32:J32"/>
    <mergeCell ref="B33:J33"/>
    <mergeCell ref="B34:J34"/>
    <mergeCell ref="B35:J35"/>
    <mergeCell ref="B36:J36"/>
    <mergeCell ref="B37:J37"/>
    <mergeCell ref="B38:J38"/>
    <mergeCell ref="B39:J39"/>
  </mergeCells>
  <dataValidations>
    <dataValidation type="custom" allowBlank="1" showDropDown="1" showInputMessage="1" showErrorMessage="1" prompt="Enter a number" sqref="K8:K48 O8:O49">
      <formula1>ISNUMBER(K8)</formula1>
    </dataValidation>
    <dataValidation type="list" allowBlank="1" showInputMessage="1" showErrorMessage="1" prompt="Click and enter a valid scale from the list of items. The valid scales are Letter, 0-100, 0-4, and None" sqref="B3">
      <formula1>"Letter,0-4,0-100,None"</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8.88"/>
    <col customWidth="1" min="3" max="8" width="6.38"/>
    <col customWidth="1" hidden="1" min="9" max="9" width="18.88"/>
    <col customWidth="1" min="10" max="10" width="18.88"/>
    <col customWidth="1" min="11" max="11" width="6.38"/>
    <col customWidth="1" hidden="1" min="12" max="12" width="18.88"/>
    <col customWidth="1" min="13" max="13" width="6.38"/>
    <col customWidth="1" hidden="1" min="14" max="14" width="6.38"/>
    <col customWidth="1" min="15" max="15" width="6.38"/>
  </cols>
  <sheetData>
    <row r="1" ht="31.5" customHeight="1">
      <c r="A1" s="58"/>
      <c r="B1" s="1"/>
      <c r="C1" s="71" t="s">
        <v>5</v>
      </c>
      <c r="I1" s="58" t="s">
        <v>6</v>
      </c>
      <c r="P1" s="72"/>
    </row>
    <row r="2" ht="15.75" customHeight="1">
      <c r="A2" s="73"/>
      <c r="B2" s="74" t="s">
        <v>50</v>
      </c>
      <c r="C2" s="59" t="s">
        <v>8</v>
      </c>
      <c r="F2" s="60" t="str">
        <f>'Getting Started'!$G$10</f>
        <v/>
      </c>
      <c r="I2" s="59" t="s">
        <v>9</v>
      </c>
      <c r="K2" s="60" t="str">
        <f>'Getting Started'!$I$10</f>
        <v/>
      </c>
      <c r="P2" s="40"/>
    </row>
    <row r="3" ht="15.75" customHeight="1">
      <c r="A3" s="73"/>
      <c r="B3" s="75" t="s">
        <v>51</v>
      </c>
      <c r="C3" s="59" t="s">
        <v>11</v>
      </c>
      <c r="F3" s="61" t="str">
        <f>'Getting Started'!$G$11</f>
        <v/>
      </c>
      <c r="I3" s="59" t="s">
        <v>12</v>
      </c>
      <c r="K3" s="60" t="str">
        <f>'Getting Started'!$I$11</f>
        <v/>
      </c>
      <c r="P3" s="40"/>
    </row>
    <row r="4" ht="31.5" customHeight="1">
      <c r="A4" s="73"/>
      <c r="B4" s="1"/>
      <c r="C4" s="59" t="s">
        <v>13</v>
      </c>
      <c r="F4" s="60" t="str">
        <f>'Getting Started'!$G$12</f>
        <v/>
      </c>
      <c r="I4" s="59" t="s">
        <v>14</v>
      </c>
      <c r="K4" s="60" t="str">
        <f>'Getting Started'!$I$12</f>
        <v/>
      </c>
      <c r="P4" s="40"/>
    </row>
    <row r="5" ht="15.75" customHeight="1">
      <c r="A5" s="73"/>
      <c r="B5" s="1"/>
      <c r="C5" s="59" t="s">
        <v>15</v>
      </c>
      <c r="F5" s="62" t="str">
        <f>'Getting Started'!$G$14</f>
        <v/>
      </c>
      <c r="I5" s="59" t="s">
        <v>16</v>
      </c>
      <c r="K5" s="60" t="str">
        <f>'Getting Started'!$I$14</f>
        <v/>
      </c>
      <c r="P5" s="40"/>
    </row>
    <row r="6" ht="15.75" customHeight="1">
      <c r="A6" s="73"/>
      <c r="B6" s="19" t="s">
        <v>52</v>
      </c>
      <c r="P6" s="40"/>
    </row>
    <row r="7" ht="31.5" customHeight="1">
      <c r="A7" s="40"/>
      <c r="B7" s="76" t="s">
        <v>53</v>
      </c>
      <c r="C7" s="8"/>
      <c r="D7" s="8"/>
      <c r="E7" s="8"/>
      <c r="F7" s="8"/>
      <c r="G7" s="8"/>
      <c r="H7" s="8"/>
      <c r="I7" s="8"/>
      <c r="J7" s="77"/>
      <c r="K7" s="78" t="s">
        <v>54</v>
      </c>
      <c r="L7" s="79" t="s">
        <v>55</v>
      </c>
      <c r="M7" s="80" t="s">
        <v>56</v>
      </c>
      <c r="N7" s="81"/>
      <c r="O7" s="82" t="s">
        <v>57</v>
      </c>
      <c r="P7" s="1"/>
    </row>
    <row r="8" ht="15.75" customHeight="1">
      <c r="A8" s="40"/>
      <c r="B8" s="83"/>
      <c r="J8" s="47"/>
      <c r="K8" s="84"/>
      <c r="L8" s="85" t="b">
        <v>0</v>
      </c>
      <c r="M8" s="86"/>
      <c r="N8" s="87"/>
      <c r="O8" s="88"/>
      <c r="P8" s="1"/>
    </row>
    <row r="9" ht="15.75" customHeight="1">
      <c r="A9" s="40"/>
      <c r="B9" s="83"/>
      <c r="J9" s="47"/>
      <c r="K9" s="84"/>
      <c r="L9" s="85" t="b">
        <v>0</v>
      </c>
      <c r="M9" s="86"/>
      <c r="N9" s="87"/>
      <c r="O9" s="88"/>
      <c r="P9" s="1"/>
    </row>
    <row r="10" ht="15.75" customHeight="1">
      <c r="A10" s="40"/>
      <c r="B10" s="83"/>
      <c r="J10" s="47"/>
      <c r="K10" s="84"/>
      <c r="L10" s="85" t="b">
        <v>0</v>
      </c>
      <c r="M10" s="86"/>
      <c r="N10" s="87"/>
      <c r="O10" s="88"/>
      <c r="P10" s="1"/>
    </row>
    <row r="11" ht="15.75" customHeight="1">
      <c r="A11" s="40"/>
      <c r="B11" s="83"/>
      <c r="J11" s="47"/>
      <c r="K11" s="84"/>
      <c r="L11" s="85" t="b">
        <v>0</v>
      </c>
      <c r="M11" s="86"/>
      <c r="N11" s="87"/>
      <c r="O11" s="88"/>
      <c r="P11" s="1"/>
    </row>
    <row r="12" ht="15.75" customHeight="1">
      <c r="A12" s="40"/>
      <c r="B12" s="83"/>
      <c r="J12" s="47"/>
      <c r="K12" s="84"/>
      <c r="L12" s="85" t="b">
        <v>0</v>
      </c>
      <c r="M12" s="86"/>
      <c r="N12" s="87"/>
      <c r="O12" s="88"/>
      <c r="P12" s="1"/>
    </row>
    <row r="13" ht="15.75" customHeight="1">
      <c r="A13" s="40"/>
      <c r="B13" s="83"/>
      <c r="J13" s="47"/>
      <c r="K13" s="84"/>
      <c r="L13" s="85" t="b">
        <v>0</v>
      </c>
      <c r="M13" s="86"/>
      <c r="N13" s="87"/>
      <c r="O13" s="88"/>
      <c r="P13" s="1"/>
    </row>
    <row r="14" ht="15.75" customHeight="1">
      <c r="A14" s="40"/>
      <c r="B14" s="83"/>
      <c r="J14" s="47"/>
      <c r="K14" s="84"/>
      <c r="L14" s="85" t="b">
        <v>0</v>
      </c>
      <c r="M14" s="86"/>
      <c r="N14" s="87"/>
      <c r="O14" s="88"/>
      <c r="P14" s="1"/>
    </row>
    <row r="15" ht="15.75" customHeight="1">
      <c r="A15" s="40"/>
      <c r="B15" s="83"/>
      <c r="J15" s="47"/>
      <c r="K15" s="84"/>
      <c r="L15" s="85" t="b">
        <v>0</v>
      </c>
      <c r="M15" s="86"/>
      <c r="N15" s="87"/>
      <c r="O15" s="88"/>
      <c r="P15" s="1"/>
    </row>
    <row r="16" ht="15.75" customHeight="1">
      <c r="A16" s="40"/>
      <c r="B16" s="83"/>
      <c r="J16" s="47"/>
      <c r="K16" s="84"/>
      <c r="L16" s="85" t="b">
        <v>0</v>
      </c>
      <c r="M16" s="86"/>
      <c r="N16" s="87"/>
      <c r="O16" s="88"/>
      <c r="P16" s="1"/>
    </row>
    <row r="17" ht="15.75" customHeight="1">
      <c r="A17" s="40"/>
      <c r="B17" s="83"/>
      <c r="J17" s="47"/>
      <c r="K17" s="84"/>
      <c r="L17" s="85" t="b">
        <v>0</v>
      </c>
      <c r="M17" s="86"/>
      <c r="N17" s="87"/>
      <c r="O17" s="88"/>
      <c r="P17" s="1"/>
    </row>
    <row r="18" ht="15.75" customHeight="1">
      <c r="A18" s="40"/>
      <c r="B18" s="83"/>
      <c r="J18" s="47"/>
      <c r="K18" s="84"/>
      <c r="L18" s="85" t="b">
        <v>0</v>
      </c>
      <c r="M18" s="86"/>
      <c r="N18" s="87"/>
      <c r="O18" s="88"/>
      <c r="P18" s="1"/>
    </row>
    <row r="19" ht="15.75" customHeight="1">
      <c r="A19" s="40"/>
      <c r="B19" s="83"/>
      <c r="J19" s="47"/>
      <c r="K19" s="84"/>
      <c r="L19" s="85" t="b">
        <v>0</v>
      </c>
      <c r="M19" s="86"/>
      <c r="N19" s="87"/>
      <c r="O19" s="88"/>
      <c r="P19" s="1"/>
    </row>
    <row r="20" ht="15.75" customHeight="1">
      <c r="A20" s="40"/>
      <c r="B20" s="83"/>
      <c r="J20" s="47"/>
      <c r="K20" s="84"/>
      <c r="L20" s="85" t="b">
        <v>0</v>
      </c>
      <c r="M20" s="86"/>
      <c r="N20" s="87"/>
      <c r="O20" s="88"/>
      <c r="P20" s="1"/>
    </row>
    <row r="21" ht="15.75" customHeight="1">
      <c r="A21" s="40"/>
      <c r="B21" s="83"/>
      <c r="J21" s="47"/>
      <c r="K21" s="84"/>
      <c r="L21" s="85" t="b">
        <v>0</v>
      </c>
      <c r="M21" s="86"/>
      <c r="N21" s="87"/>
      <c r="O21" s="88"/>
      <c r="P21" s="1"/>
    </row>
    <row r="22" ht="15.75" customHeight="1">
      <c r="A22" s="40"/>
      <c r="B22" s="83"/>
      <c r="J22" s="47"/>
      <c r="K22" s="84"/>
      <c r="L22" s="85" t="b">
        <v>0</v>
      </c>
      <c r="M22" s="86"/>
      <c r="N22" s="87"/>
      <c r="O22" s="88"/>
      <c r="P22" s="1"/>
    </row>
    <row r="23" ht="15.75" customHeight="1">
      <c r="A23" s="40"/>
      <c r="B23" s="83"/>
      <c r="J23" s="47"/>
      <c r="K23" s="84"/>
      <c r="L23" s="85" t="b">
        <v>0</v>
      </c>
      <c r="M23" s="86"/>
      <c r="N23" s="87"/>
      <c r="O23" s="88"/>
      <c r="P23" s="1"/>
    </row>
    <row r="24" ht="15.75" customHeight="1">
      <c r="A24" s="40"/>
      <c r="B24" s="83"/>
      <c r="J24" s="47"/>
      <c r="K24" s="84"/>
      <c r="L24" s="85" t="b">
        <v>0</v>
      </c>
      <c r="M24" s="86"/>
      <c r="N24" s="87"/>
      <c r="O24" s="88"/>
      <c r="P24" s="1"/>
    </row>
    <row r="25" ht="15.75" customHeight="1">
      <c r="A25" s="40"/>
      <c r="B25" s="83"/>
      <c r="J25" s="47"/>
      <c r="K25" s="84"/>
      <c r="L25" s="85" t="b">
        <v>0</v>
      </c>
      <c r="M25" s="86"/>
      <c r="N25" s="87"/>
      <c r="O25" s="88"/>
      <c r="P25" s="1"/>
    </row>
    <row r="26" ht="15.75" customHeight="1">
      <c r="A26" s="40"/>
      <c r="B26" s="83"/>
      <c r="J26" s="47"/>
      <c r="K26" s="84"/>
      <c r="L26" s="85" t="b">
        <v>0</v>
      </c>
      <c r="M26" s="86"/>
      <c r="N26" s="87"/>
      <c r="O26" s="88"/>
      <c r="P26" s="1"/>
    </row>
    <row r="27" ht="15.75" customHeight="1">
      <c r="A27" s="40"/>
      <c r="B27" s="83"/>
      <c r="J27" s="47"/>
      <c r="K27" s="84"/>
      <c r="L27" s="85" t="b">
        <v>0</v>
      </c>
      <c r="M27" s="86"/>
      <c r="N27" s="87"/>
      <c r="O27" s="88"/>
      <c r="P27" s="1"/>
    </row>
    <row r="28" ht="15.75" customHeight="1">
      <c r="A28" s="40"/>
      <c r="B28" s="83"/>
      <c r="J28" s="47"/>
      <c r="K28" s="84"/>
      <c r="L28" s="85" t="b">
        <v>0</v>
      </c>
      <c r="M28" s="86"/>
      <c r="N28" s="87"/>
      <c r="O28" s="88"/>
      <c r="P28" s="1"/>
    </row>
    <row r="29" ht="15.75" customHeight="1">
      <c r="A29" s="40"/>
      <c r="B29" s="83"/>
      <c r="J29" s="47"/>
      <c r="K29" s="84"/>
      <c r="L29" s="85" t="b">
        <v>0</v>
      </c>
      <c r="M29" s="86"/>
      <c r="N29" s="87"/>
      <c r="O29" s="88"/>
      <c r="P29" s="1"/>
    </row>
    <row r="30" ht="15.75" customHeight="1">
      <c r="A30" s="40"/>
      <c r="B30" s="83"/>
      <c r="J30" s="47"/>
      <c r="K30" s="84"/>
      <c r="L30" s="85" t="b">
        <v>0</v>
      </c>
      <c r="M30" s="86"/>
      <c r="N30" s="87"/>
      <c r="O30" s="88"/>
      <c r="P30" s="1"/>
    </row>
    <row r="31" ht="15.75" customHeight="1">
      <c r="A31" s="40"/>
      <c r="B31" s="83"/>
      <c r="J31" s="47"/>
      <c r="K31" s="84"/>
      <c r="L31" s="85" t="b">
        <v>0</v>
      </c>
      <c r="M31" s="86"/>
      <c r="N31" s="87"/>
      <c r="O31" s="88"/>
      <c r="P31" s="1"/>
    </row>
    <row r="32" ht="15.75" customHeight="1">
      <c r="A32" s="40"/>
      <c r="B32" s="83"/>
      <c r="J32" s="47"/>
      <c r="K32" s="84"/>
      <c r="L32" s="85" t="b">
        <v>0</v>
      </c>
      <c r="M32" s="86"/>
      <c r="N32" s="87"/>
      <c r="O32" s="88"/>
      <c r="P32" s="1"/>
    </row>
    <row r="33" ht="15.75" customHeight="1">
      <c r="A33" s="40"/>
      <c r="B33" s="83"/>
      <c r="J33" s="47"/>
      <c r="K33" s="84"/>
      <c r="L33" s="85" t="b">
        <v>0</v>
      </c>
      <c r="M33" s="86"/>
      <c r="N33" s="87"/>
      <c r="O33" s="88"/>
      <c r="P33" s="1"/>
    </row>
    <row r="34" ht="15.75" customHeight="1">
      <c r="A34" s="40"/>
      <c r="B34" s="83"/>
      <c r="J34" s="47"/>
      <c r="K34" s="84"/>
      <c r="L34" s="85" t="b">
        <v>0</v>
      </c>
      <c r="M34" s="86"/>
      <c r="N34" s="87"/>
      <c r="O34" s="88"/>
      <c r="P34" s="1"/>
    </row>
    <row r="35" ht="15.75" customHeight="1">
      <c r="A35" s="40"/>
      <c r="B35" s="83"/>
      <c r="J35" s="47"/>
      <c r="K35" s="84"/>
      <c r="L35" s="85" t="b">
        <v>0</v>
      </c>
      <c r="M35" s="86"/>
      <c r="N35" s="87"/>
      <c r="O35" s="88"/>
      <c r="P35" s="1"/>
    </row>
    <row r="36" ht="15.75" customHeight="1">
      <c r="A36" s="40"/>
      <c r="B36" s="83"/>
      <c r="J36" s="47"/>
      <c r="K36" s="84"/>
      <c r="L36" s="85" t="b">
        <v>0</v>
      </c>
      <c r="M36" s="86"/>
      <c r="N36" s="87"/>
      <c r="O36" s="88"/>
      <c r="P36" s="1"/>
    </row>
    <row r="37" ht="15.75" customHeight="1">
      <c r="A37" s="40"/>
      <c r="B37" s="83"/>
      <c r="J37" s="47"/>
      <c r="K37" s="84"/>
      <c r="L37" s="85" t="b">
        <v>0</v>
      </c>
      <c r="M37" s="86"/>
      <c r="N37" s="87"/>
      <c r="O37" s="88"/>
      <c r="P37" s="1"/>
    </row>
    <row r="38" ht="15.75" customHeight="1">
      <c r="A38" s="40"/>
      <c r="B38" s="83"/>
      <c r="J38" s="47"/>
      <c r="K38" s="84"/>
      <c r="L38" s="85" t="b">
        <v>0</v>
      </c>
      <c r="M38" s="86"/>
      <c r="N38" s="87"/>
      <c r="O38" s="88"/>
      <c r="P38" s="1"/>
    </row>
    <row r="39" ht="15.75" customHeight="1">
      <c r="A39" s="40"/>
      <c r="B39" s="83"/>
      <c r="J39" s="47"/>
      <c r="K39" s="84"/>
      <c r="L39" s="85" t="b">
        <v>0</v>
      </c>
      <c r="M39" s="86"/>
      <c r="N39" s="87"/>
      <c r="O39" s="88"/>
      <c r="P39" s="1"/>
    </row>
    <row r="40" ht="15.75" customHeight="1">
      <c r="A40" s="40"/>
      <c r="B40" s="83"/>
      <c r="J40" s="47"/>
      <c r="K40" s="84"/>
      <c r="L40" s="85" t="b">
        <v>0</v>
      </c>
      <c r="M40" s="86"/>
      <c r="N40" s="87"/>
      <c r="O40" s="88"/>
      <c r="P40" s="1"/>
    </row>
    <row r="41" ht="15.75" customHeight="1">
      <c r="A41" s="40"/>
      <c r="B41" s="83"/>
      <c r="J41" s="47"/>
      <c r="K41" s="84"/>
      <c r="L41" s="85" t="b">
        <v>0</v>
      </c>
      <c r="M41" s="86"/>
      <c r="N41" s="87"/>
      <c r="O41" s="88"/>
      <c r="P41" s="1"/>
    </row>
    <row r="42" ht="15.75" customHeight="1">
      <c r="A42" s="40"/>
      <c r="B42" s="83"/>
      <c r="J42" s="47"/>
      <c r="K42" s="84"/>
      <c r="L42" s="85" t="b">
        <v>0</v>
      </c>
      <c r="M42" s="86"/>
      <c r="N42" s="87"/>
      <c r="O42" s="88"/>
      <c r="P42" s="1"/>
    </row>
    <row r="43" ht="15.75" customHeight="1">
      <c r="A43" s="40"/>
      <c r="B43" s="83"/>
      <c r="J43" s="47"/>
      <c r="K43" s="84"/>
      <c r="L43" s="85" t="b">
        <v>0</v>
      </c>
      <c r="M43" s="86"/>
      <c r="N43" s="87"/>
      <c r="O43" s="88"/>
      <c r="P43" s="1"/>
    </row>
    <row r="44" ht="15.75" customHeight="1">
      <c r="A44" s="40"/>
      <c r="B44" s="83"/>
      <c r="J44" s="47"/>
      <c r="K44" s="84"/>
      <c r="L44" s="85" t="b">
        <v>0</v>
      </c>
      <c r="M44" s="86"/>
      <c r="N44" s="87"/>
      <c r="O44" s="88"/>
      <c r="P44" s="1"/>
    </row>
    <row r="45" ht="15.75" customHeight="1">
      <c r="A45" s="40"/>
      <c r="B45" s="83"/>
      <c r="J45" s="47"/>
      <c r="K45" s="84"/>
      <c r="L45" s="85" t="b">
        <v>0</v>
      </c>
      <c r="M45" s="86"/>
      <c r="N45" s="87"/>
      <c r="O45" s="88"/>
      <c r="P45" s="1"/>
    </row>
    <row r="46" ht="15.75" customHeight="1">
      <c r="A46" s="40"/>
      <c r="B46" s="83"/>
      <c r="J46" s="47"/>
      <c r="K46" s="84"/>
      <c r="L46" s="85" t="b">
        <v>0</v>
      </c>
      <c r="M46" s="86"/>
      <c r="N46" s="87"/>
      <c r="O46" s="88"/>
      <c r="P46" s="1"/>
    </row>
    <row r="47" ht="15.75" customHeight="1">
      <c r="A47" s="40"/>
      <c r="B47" s="83"/>
      <c r="J47" s="47"/>
      <c r="K47" s="84"/>
      <c r="L47" s="85" t="b">
        <v>0</v>
      </c>
      <c r="M47" s="86"/>
      <c r="N47" s="87"/>
      <c r="O47" s="88"/>
      <c r="P47" s="1"/>
    </row>
    <row r="48" ht="15.75" customHeight="1">
      <c r="A48" s="40"/>
      <c r="B48" s="83"/>
      <c r="J48" s="47"/>
      <c r="K48" s="84"/>
      <c r="L48" s="85" t="b">
        <v>0</v>
      </c>
      <c r="M48" s="86"/>
      <c r="N48" s="87"/>
      <c r="O48" s="88"/>
      <c r="P48" s="1"/>
    </row>
    <row r="49" ht="15.75" customHeight="1">
      <c r="A49" s="40"/>
      <c r="B49" s="89"/>
      <c r="C49" s="16"/>
      <c r="D49" s="16"/>
      <c r="E49" s="16"/>
      <c r="F49" s="16"/>
      <c r="G49" s="16"/>
      <c r="H49" s="16"/>
      <c r="I49" s="16"/>
      <c r="J49" s="90"/>
      <c r="K49" s="91"/>
      <c r="L49" s="92" t="b">
        <v>0</v>
      </c>
      <c r="M49" s="93"/>
      <c r="N49" s="94"/>
      <c r="O49" s="95"/>
      <c r="P49" s="40"/>
    </row>
    <row r="50" ht="15.75" customHeight="1">
      <c r="A50" s="40"/>
      <c r="B50" s="96"/>
      <c r="C50" s="96"/>
      <c r="D50" s="96"/>
      <c r="E50" s="96"/>
      <c r="F50" s="96"/>
      <c r="G50" s="96"/>
      <c r="H50" s="96"/>
      <c r="I50" s="1"/>
      <c r="J50" s="1"/>
      <c r="K50" s="1"/>
      <c r="L50" s="1"/>
      <c r="M50" s="1"/>
      <c r="N50" s="97"/>
      <c r="O50" s="97"/>
      <c r="P50" s="40"/>
    </row>
    <row r="51" ht="15.75" customHeight="1">
      <c r="A51" s="40"/>
      <c r="B51" s="98" t="s">
        <v>58</v>
      </c>
      <c r="C51" s="99"/>
      <c r="D51" s="99"/>
      <c r="E51" s="99"/>
      <c r="F51" s="99"/>
      <c r="G51" s="99"/>
      <c r="H51" s="99"/>
      <c r="I51" s="100"/>
      <c r="J51" s="101" t="s">
        <v>59</v>
      </c>
      <c r="K51" s="102"/>
      <c r="L51" s="1"/>
      <c r="M51" s="1"/>
      <c r="N51" s="97"/>
      <c r="O51" s="97"/>
      <c r="P51" s="40"/>
    </row>
    <row r="52" ht="15.75" customHeight="1">
      <c r="A52" s="40"/>
      <c r="B52" s="103" t="s">
        <v>60</v>
      </c>
      <c r="C52" s="104" t="s">
        <v>61</v>
      </c>
      <c r="D52" s="105"/>
      <c r="E52" s="106"/>
      <c r="F52" s="104" t="s">
        <v>62</v>
      </c>
      <c r="G52" s="105"/>
      <c r="H52" s="107"/>
      <c r="I52" s="100"/>
      <c r="J52" s="108" t="s">
        <v>63</v>
      </c>
      <c r="K52" s="109"/>
      <c r="L52" s="110"/>
      <c r="M52" s="111" t="s">
        <v>64</v>
      </c>
      <c r="N52" s="109"/>
      <c r="O52" s="102"/>
      <c r="P52" s="40"/>
    </row>
    <row r="53" ht="15.75" customHeight="1">
      <c r="A53" s="40"/>
      <c r="B53" s="112"/>
      <c r="C53" s="113" t="s">
        <v>65</v>
      </c>
      <c r="D53" s="114" t="s">
        <v>66</v>
      </c>
      <c r="E53" s="115" t="s">
        <v>67</v>
      </c>
      <c r="F53" s="113" t="s">
        <v>65</v>
      </c>
      <c r="G53" s="114" t="s">
        <v>66</v>
      </c>
      <c r="H53" s="116" t="s">
        <v>67</v>
      </c>
      <c r="I53" s="110"/>
      <c r="J53" s="117" t="str">
        <f t="array" ref="J53">GPA({$K$8:$K$49,$M$8:$M$49,$O$8:$O$49},1,2)</f>
        <v>Loading...</v>
      </c>
      <c r="K53" s="118"/>
      <c r="L53" s="110"/>
      <c r="M53" s="119" t="str">
        <f t="array" ref="M53">CREDITSSUM({$K$8:$K$49,$M$8:$M$49},1,2)</f>
        <v>Loading...</v>
      </c>
      <c r="N53" s="118"/>
      <c r="O53" s="120"/>
      <c r="P53" s="40"/>
    </row>
    <row r="54" ht="15.75" customHeight="1">
      <c r="A54" s="40"/>
      <c r="B54" s="121" t="s">
        <v>68</v>
      </c>
      <c r="C54" s="122"/>
      <c r="D54" s="84"/>
      <c r="E54" s="123"/>
      <c r="F54" s="86"/>
      <c r="G54" s="84"/>
      <c r="H54" s="124"/>
      <c r="I54" s="110"/>
      <c r="J54" s="1"/>
      <c r="K54" s="1"/>
      <c r="L54" s="1"/>
      <c r="M54" s="1"/>
      <c r="N54" s="1"/>
      <c r="O54" s="1"/>
      <c r="P54" s="40"/>
    </row>
    <row r="55" ht="15.75" customHeight="1">
      <c r="A55" s="73"/>
      <c r="B55" s="125" t="s">
        <v>69</v>
      </c>
      <c r="C55" s="126"/>
      <c r="D55" s="127"/>
      <c r="E55" s="128"/>
      <c r="F55" s="129"/>
      <c r="G55" s="127"/>
      <c r="H55" s="130"/>
      <c r="I55" s="59"/>
      <c r="K55" s="60"/>
      <c r="L55" s="60"/>
      <c r="M55" s="60"/>
      <c r="N55" s="60"/>
      <c r="O55" s="60"/>
      <c r="P55" s="40"/>
    </row>
    <row r="56" ht="15.75" customHeight="1">
      <c r="A56" s="73"/>
      <c r="I56" s="59"/>
      <c r="K56" s="60"/>
      <c r="L56" s="60"/>
      <c r="M56" s="60"/>
      <c r="N56" s="60"/>
      <c r="O56" s="60"/>
      <c r="P56" s="40"/>
    </row>
    <row r="57" ht="15.75" customHeight="1">
      <c r="A57" s="73"/>
      <c r="I57" s="59"/>
      <c r="J57" s="59"/>
      <c r="K57" s="60"/>
      <c r="L57" s="60"/>
      <c r="M57" s="60"/>
      <c r="N57" s="60"/>
      <c r="O57" s="60"/>
      <c r="P57" s="40"/>
    </row>
    <row r="58" ht="15.75" customHeight="1">
      <c r="A58" s="40"/>
      <c r="B58" s="96"/>
      <c r="C58" s="96"/>
      <c r="D58" s="96"/>
      <c r="E58" s="96"/>
      <c r="F58" s="96"/>
      <c r="G58" s="96"/>
      <c r="H58" s="96"/>
      <c r="I58" s="97"/>
      <c r="J58" s="97"/>
      <c r="K58" s="97"/>
      <c r="L58" s="131"/>
      <c r="M58" s="97"/>
      <c r="N58" s="97"/>
      <c r="O58" s="97"/>
      <c r="P58" s="40"/>
    </row>
    <row r="59" ht="15.75" customHeight="1">
      <c r="A59" s="40"/>
      <c r="B59" s="96"/>
      <c r="C59" s="96"/>
      <c r="D59" s="96"/>
      <c r="E59" s="96"/>
      <c r="F59" s="96"/>
      <c r="G59" s="96"/>
      <c r="H59" s="96"/>
      <c r="I59" s="97"/>
      <c r="J59" s="97"/>
      <c r="K59" s="97"/>
      <c r="L59" s="131"/>
      <c r="M59" s="97"/>
      <c r="N59" s="97"/>
      <c r="O59" s="97"/>
      <c r="P59" s="40"/>
    </row>
  </sheetData>
  <mergeCells count="71">
    <mergeCell ref="B40:J40"/>
    <mergeCell ref="B41:J41"/>
    <mergeCell ref="B42:J42"/>
    <mergeCell ref="B43:J43"/>
    <mergeCell ref="B44:J44"/>
    <mergeCell ref="B45:J45"/>
    <mergeCell ref="B46:J46"/>
    <mergeCell ref="J52:K52"/>
    <mergeCell ref="M52:O52"/>
    <mergeCell ref="M53:O53"/>
    <mergeCell ref="I55:J55"/>
    <mergeCell ref="I56:J56"/>
    <mergeCell ref="B47:J47"/>
    <mergeCell ref="B48:J48"/>
    <mergeCell ref="B49:J49"/>
    <mergeCell ref="J51:K51"/>
    <mergeCell ref="B52:B53"/>
    <mergeCell ref="C52:E52"/>
    <mergeCell ref="F52:H52"/>
    <mergeCell ref="J53:K53"/>
    <mergeCell ref="C1:H1"/>
    <mergeCell ref="I1:O1"/>
    <mergeCell ref="C2:E2"/>
    <mergeCell ref="F2:H2"/>
    <mergeCell ref="I2:J2"/>
    <mergeCell ref="K2:O2"/>
    <mergeCell ref="C3:E3"/>
    <mergeCell ref="K3:O3"/>
    <mergeCell ref="F3:H3"/>
    <mergeCell ref="I3:J3"/>
    <mergeCell ref="C4:E4"/>
    <mergeCell ref="F4:H4"/>
    <mergeCell ref="I4:J4"/>
    <mergeCell ref="K4:O4"/>
    <mergeCell ref="C5:E6"/>
    <mergeCell ref="K5:O6"/>
    <mergeCell ref="F5:H6"/>
    <mergeCell ref="I5:J6"/>
    <mergeCell ref="B7:J7"/>
    <mergeCell ref="B8:J8"/>
    <mergeCell ref="B9:J9"/>
    <mergeCell ref="B10:J10"/>
    <mergeCell ref="B11:J11"/>
    <mergeCell ref="B12:J12"/>
    <mergeCell ref="B13:J13"/>
    <mergeCell ref="B14:J14"/>
    <mergeCell ref="B15:J15"/>
    <mergeCell ref="B16:J16"/>
    <mergeCell ref="B17:J17"/>
    <mergeCell ref="B18:J18"/>
    <mergeCell ref="B19:J19"/>
    <mergeCell ref="B20:J20"/>
    <mergeCell ref="B21:J21"/>
    <mergeCell ref="B22:J22"/>
    <mergeCell ref="B23:J23"/>
    <mergeCell ref="B24:J24"/>
    <mergeCell ref="B25:J25"/>
    <mergeCell ref="B26:J26"/>
    <mergeCell ref="B27:J27"/>
    <mergeCell ref="B28:J28"/>
    <mergeCell ref="B29:J29"/>
    <mergeCell ref="B30:J30"/>
    <mergeCell ref="B31:J31"/>
    <mergeCell ref="B32:J32"/>
    <mergeCell ref="B33:J33"/>
    <mergeCell ref="B34:J34"/>
    <mergeCell ref="B35:J35"/>
    <mergeCell ref="B36:J36"/>
    <mergeCell ref="B37:J37"/>
    <mergeCell ref="B38:J38"/>
    <mergeCell ref="B39:J39"/>
  </mergeCells>
  <dataValidations>
    <dataValidation type="custom" allowBlank="1" showDropDown="1" showInputMessage="1" showErrorMessage="1" prompt="Enter a number" sqref="K8:K48 O8:O49">
      <formula1>ISNUMBER(K8)</formula1>
    </dataValidation>
    <dataValidation type="list" allowBlank="1" showInputMessage="1" showErrorMessage="1" prompt="Click and enter a valid scale from the list of items. The valid scales are Letter, 0-100, 0-4, and None" sqref="B3">
      <formula1>"Letter,0-4,0-100,None"</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8.88"/>
    <col customWidth="1" min="3" max="8" width="6.38"/>
    <col customWidth="1" hidden="1" min="9" max="9" width="18.88"/>
    <col customWidth="1" min="10" max="10" width="18.88"/>
    <col customWidth="1" min="11" max="11" width="6.38"/>
    <col customWidth="1" hidden="1" min="12" max="12" width="18.88"/>
    <col customWidth="1" min="13" max="13" width="6.38"/>
    <col customWidth="1" hidden="1" min="14" max="14" width="6.38"/>
    <col customWidth="1" min="15" max="15" width="6.38"/>
  </cols>
  <sheetData>
    <row r="1" ht="31.5" customHeight="1">
      <c r="A1" s="58"/>
      <c r="B1" s="1"/>
      <c r="C1" s="71" t="s">
        <v>5</v>
      </c>
      <c r="I1" s="58" t="s">
        <v>6</v>
      </c>
      <c r="P1" s="72"/>
    </row>
    <row r="2" ht="15.75" customHeight="1">
      <c r="A2" s="73"/>
      <c r="B2" s="74" t="s">
        <v>50</v>
      </c>
      <c r="C2" s="59" t="s">
        <v>8</v>
      </c>
      <c r="F2" s="60" t="str">
        <f>'Getting Started'!$G$10</f>
        <v/>
      </c>
      <c r="I2" s="59" t="s">
        <v>9</v>
      </c>
      <c r="K2" s="60" t="str">
        <f>'Getting Started'!$I$10</f>
        <v/>
      </c>
      <c r="P2" s="40"/>
    </row>
    <row r="3" ht="15.75" customHeight="1">
      <c r="A3" s="73"/>
      <c r="B3" s="75" t="s">
        <v>51</v>
      </c>
      <c r="C3" s="59" t="s">
        <v>11</v>
      </c>
      <c r="F3" s="61" t="str">
        <f>'Getting Started'!$G$11</f>
        <v/>
      </c>
      <c r="I3" s="59" t="s">
        <v>12</v>
      </c>
      <c r="K3" s="60" t="str">
        <f>'Getting Started'!$I$11</f>
        <v/>
      </c>
      <c r="P3" s="40"/>
    </row>
    <row r="4" ht="31.5" customHeight="1">
      <c r="A4" s="73"/>
      <c r="B4" s="1"/>
      <c r="C4" s="59" t="s">
        <v>13</v>
      </c>
      <c r="F4" s="60" t="str">
        <f>'Getting Started'!$G$12</f>
        <v/>
      </c>
      <c r="I4" s="59" t="s">
        <v>14</v>
      </c>
      <c r="K4" s="60" t="str">
        <f>'Getting Started'!$I$12</f>
        <v/>
      </c>
      <c r="P4" s="40"/>
    </row>
    <row r="5" ht="15.75" customHeight="1">
      <c r="A5" s="73"/>
      <c r="B5" s="1"/>
      <c r="C5" s="59" t="s">
        <v>15</v>
      </c>
      <c r="F5" s="62" t="str">
        <f>'Getting Started'!$G$14</f>
        <v/>
      </c>
      <c r="I5" s="59" t="s">
        <v>16</v>
      </c>
      <c r="K5" s="60" t="str">
        <f>'Getting Started'!$I$14</f>
        <v/>
      </c>
      <c r="P5" s="40"/>
    </row>
    <row r="6" ht="15.75" customHeight="1">
      <c r="A6" s="73"/>
      <c r="B6" s="19" t="s">
        <v>52</v>
      </c>
      <c r="P6" s="40"/>
    </row>
    <row r="7" ht="31.5" customHeight="1">
      <c r="A7" s="40"/>
      <c r="B7" s="76" t="s">
        <v>53</v>
      </c>
      <c r="C7" s="8"/>
      <c r="D7" s="8"/>
      <c r="E7" s="8"/>
      <c r="F7" s="8"/>
      <c r="G7" s="8"/>
      <c r="H7" s="8"/>
      <c r="I7" s="8"/>
      <c r="J7" s="77"/>
      <c r="K7" s="78" t="s">
        <v>54</v>
      </c>
      <c r="L7" s="79" t="s">
        <v>55</v>
      </c>
      <c r="M7" s="80" t="s">
        <v>56</v>
      </c>
      <c r="N7" s="81"/>
      <c r="O7" s="82" t="s">
        <v>57</v>
      </c>
      <c r="P7" s="1"/>
    </row>
    <row r="8" ht="15.75" customHeight="1">
      <c r="A8" s="40"/>
      <c r="B8" s="83"/>
      <c r="J8" s="47"/>
      <c r="K8" s="84"/>
      <c r="L8" s="85" t="b">
        <v>0</v>
      </c>
      <c r="M8" s="86"/>
      <c r="N8" s="87"/>
      <c r="O8" s="88"/>
      <c r="P8" s="1"/>
    </row>
    <row r="9" ht="15.75" customHeight="1">
      <c r="A9" s="40"/>
      <c r="B9" s="83"/>
      <c r="J9" s="47"/>
      <c r="K9" s="84"/>
      <c r="L9" s="85" t="b">
        <v>0</v>
      </c>
      <c r="M9" s="86"/>
      <c r="N9" s="87"/>
      <c r="O9" s="88"/>
      <c r="P9" s="1"/>
    </row>
    <row r="10" ht="15.75" customHeight="1">
      <c r="A10" s="40"/>
      <c r="B10" s="83"/>
      <c r="J10" s="47"/>
      <c r="K10" s="84"/>
      <c r="L10" s="85" t="b">
        <v>0</v>
      </c>
      <c r="M10" s="86"/>
      <c r="N10" s="87"/>
      <c r="O10" s="88"/>
      <c r="P10" s="1"/>
    </row>
    <row r="11" ht="15.75" customHeight="1">
      <c r="A11" s="40"/>
      <c r="B11" s="83"/>
      <c r="J11" s="47"/>
      <c r="K11" s="84"/>
      <c r="L11" s="85" t="b">
        <v>0</v>
      </c>
      <c r="M11" s="86"/>
      <c r="N11" s="87"/>
      <c r="O11" s="88"/>
      <c r="P11" s="1"/>
    </row>
    <row r="12" ht="15.75" customHeight="1">
      <c r="A12" s="40"/>
      <c r="B12" s="83"/>
      <c r="J12" s="47"/>
      <c r="K12" s="84"/>
      <c r="L12" s="85" t="b">
        <v>0</v>
      </c>
      <c r="M12" s="86"/>
      <c r="N12" s="87"/>
      <c r="O12" s="88"/>
      <c r="P12" s="1"/>
    </row>
    <row r="13" ht="15.75" customHeight="1">
      <c r="A13" s="40"/>
      <c r="B13" s="83"/>
      <c r="J13" s="47"/>
      <c r="K13" s="84"/>
      <c r="L13" s="85" t="b">
        <v>0</v>
      </c>
      <c r="M13" s="86"/>
      <c r="N13" s="87"/>
      <c r="O13" s="88"/>
      <c r="P13" s="1"/>
    </row>
    <row r="14" ht="15.75" customHeight="1">
      <c r="A14" s="40"/>
      <c r="B14" s="83"/>
      <c r="J14" s="47"/>
      <c r="K14" s="84"/>
      <c r="L14" s="85" t="b">
        <v>0</v>
      </c>
      <c r="M14" s="86"/>
      <c r="N14" s="87"/>
      <c r="O14" s="88"/>
      <c r="P14" s="1"/>
    </row>
    <row r="15" ht="15.75" customHeight="1">
      <c r="A15" s="40"/>
      <c r="B15" s="83"/>
      <c r="J15" s="47"/>
      <c r="K15" s="84"/>
      <c r="L15" s="85" t="b">
        <v>0</v>
      </c>
      <c r="M15" s="86"/>
      <c r="N15" s="87"/>
      <c r="O15" s="88"/>
      <c r="P15" s="1"/>
    </row>
    <row r="16" ht="15.75" customHeight="1">
      <c r="A16" s="40"/>
      <c r="B16" s="83"/>
      <c r="J16" s="47"/>
      <c r="K16" s="84"/>
      <c r="L16" s="85" t="b">
        <v>0</v>
      </c>
      <c r="M16" s="86"/>
      <c r="N16" s="87"/>
      <c r="O16" s="88"/>
      <c r="P16" s="1"/>
    </row>
    <row r="17" ht="15.75" customHeight="1">
      <c r="A17" s="40"/>
      <c r="B17" s="83"/>
      <c r="J17" s="47"/>
      <c r="K17" s="84"/>
      <c r="L17" s="85" t="b">
        <v>0</v>
      </c>
      <c r="M17" s="86"/>
      <c r="N17" s="87"/>
      <c r="O17" s="88"/>
      <c r="P17" s="1"/>
    </row>
    <row r="18" ht="15.75" customHeight="1">
      <c r="A18" s="40"/>
      <c r="B18" s="83"/>
      <c r="J18" s="47"/>
      <c r="K18" s="84"/>
      <c r="L18" s="85" t="b">
        <v>0</v>
      </c>
      <c r="M18" s="86"/>
      <c r="N18" s="87"/>
      <c r="O18" s="88"/>
      <c r="P18" s="1"/>
    </row>
    <row r="19" ht="15.75" customHeight="1">
      <c r="A19" s="40"/>
      <c r="B19" s="83"/>
      <c r="J19" s="47"/>
      <c r="K19" s="84"/>
      <c r="L19" s="85" t="b">
        <v>0</v>
      </c>
      <c r="M19" s="86"/>
      <c r="N19" s="87"/>
      <c r="O19" s="88"/>
      <c r="P19" s="1"/>
    </row>
    <row r="20" ht="15.75" customHeight="1">
      <c r="A20" s="40"/>
      <c r="B20" s="83"/>
      <c r="J20" s="47"/>
      <c r="K20" s="84"/>
      <c r="L20" s="85" t="b">
        <v>0</v>
      </c>
      <c r="M20" s="86"/>
      <c r="N20" s="87"/>
      <c r="O20" s="88"/>
      <c r="P20" s="1"/>
    </row>
    <row r="21" ht="15.75" customHeight="1">
      <c r="A21" s="40"/>
      <c r="B21" s="83"/>
      <c r="J21" s="47"/>
      <c r="K21" s="84"/>
      <c r="L21" s="85" t="b">
        <v>0</v>
      </c>
      <c r="M21" s="86"/>
      <c r="N21" s="87"/>
      <c r="O21" s="88"/>
      <c r="P21" s="1"/>
    </row>
    <row r="22" ht="15.75" customHeight="1">
      <c r="A22" s="40"/>
      <c r="B22" s="83"/>
      <c r="J22" s="47"/>
      <c r="K22" s="84"/>
      <c r="L22" s="85" t="b">
        <v>0</v>
      </c>
      <c r="M22" s="86"/>
      <c r="N22" s="87"/>
      <c r="O22" s="88"/>
      <c r="P22" s="1"/>
    </row>
    <row r="23" ht="15.75" customHeight="1">
      <c r="A23" s="40"/>
      <c r="B23" s="83"/>
      <c r="J23" s="47"/>
      <c r="K23" s="84"/>
      <c r="L23" s="85" t="b">
        <v>0</v>
      </c>
      <c r="M23" s="86"/>
      <c r="N23" s="87"/>
      <c r="O23" s="88"/>
      <c r="P23" s="1"/>
    </row>
    <row r="24" ht="15.75" customHeight="1">
      <c r="A24" s="40"/>
      <c r="B24" s="83"/>
      <c r="J24" s="47"/>
      <c r="K24" s="84"/>
      <c r="L24" s="85" t="b">
        <v>0</v>
      </c>
      <c r="M24" s="86"/>
      <c r="N24" s="87"/>
      <c r="O24" s="88"/>
      <c r="P24" s="1"/>
    </row>
    <row r="25" ht="15.75" customHeight="1">
      <c r="A25" s="40"/>
      <c r="B25" s="83"/>
      <c r="J25" s="47"/>
      <c r="K25" s="84"/>
      <c r="L25" s="85" t="b">
        <v>0</v>
      </c>
      <c r="M25" s="86"/>
      <c r="N25" s="87"/>
      <c r="O25" s="88"/>
      <c r="P25" s="1"/>
    </row>
    <row r="26" ht="15.75" customHeight="1">
      <c r="A26" s="40"/>
      <c r="B26" s="83"/>
      <c r="J26" s="47"/>
      <c r="K26" s="84"/>
      <c r="L26" s="85" t="b">
        <v>0</v>
      </c>
      <c r="M26" s="86"/>
      <c r="N26" s="87"/>
      <c r="O26" s="88"/>
      <c r="P26" s="1"/>
    </row>
    <row r="27" ht="15.75" customHeight="1">
      <c r="A27" s="40"/>
      <c r="B27" s="83"/>
      <c r="J27" s="47"/>
      <c r="K27" s="84"/>
      <c r="L27" s="85" t="b">
        <v>0</v>
      </c>
      <c r="M27" s="86"/>
      <c r="N27" s="87"/>
      <c r="O27" s="88"/>
      <c r="P27" s="1"/>
    </row>
    <row r="28" ht="15.75" customHeight="1">
      <c r="A28" s="40"/>
      <c r="B28" s="83"/>
      <c r="J28" s="47"/>
      <c r="K28" s="84"/>
      <c r="L28" s="85" t="b">
        <v>0</v>
      </c>
      <c r="M28" s="86"/>
      <c r="N28" s="87"/>
      <c r="O28" s="88"/>
      <c r="P28" s="1"/>
    </row>
    <row r="29" ht="15.75" customHeight="1">
      <c r="A29" s="40"/>
      <c r="B29" s="83"/>
      <c r="J29" s="47"/>
      <c r="K29" s="84"/>
      <c r="L29" s="85" t="b">
        <v>0</v>
      </c>
      <c r="M29" s="86"/>
      <c r="N29" s="87"/>
      <c r="O29" s="88"/>
      <c r="P29" s="1"/>
    </row>
    <row r="30" ht="15.75" customHeight="1">
      <c r="A30" s="40"/>
      <c r="B30" s="83"/>
      <c r="J30" s="47"/>
      <c r="K30" s="84"/>
      <c r="L30" s="85" t="b">
        <v>0</v>
      </c>
      <c r="M30" s="86"/>
      <c r="N30" s="87"/>
      <c r="O30" s="88"/>
      <c r="P30" s="1"/>
    </row>
    <row r="31" ht="15.75" customHeight="1">
      <c r="A31" s="40"/>
      <c r="B31" s="83"/>
      <c r="J31" s="47"/>
      <c r="K31" s="84"/>
      <c r="L31" s="85" t="b">
        <v>0</v>
      </c>
      <c r="M31" s="86"/>
      <c r="N31" s="87"/>
      <c r="O31" s="88"/>
      <c r="P31" s="1"/>
    </row>
    <row r="32" ht="15.75" customHeight="1">
      <c r="A32" s="40"/>
      <c r="B32" s="83"/>
      <c r="J32" s="47"/>
      <c r="K32" s="84"/>
      <c r="L32" s="85" t="b">
        <v>0</v>
      </c>
      <c r="M32" s="86"/>
      <c r="N32" s="87"/>
      <c r="O32" s="88"/>
      <c r="P32" s="1"/>
    </row>
    <row r="33" ht="15.75" customHeight="1">
      <c r="A33" s="40"/>
      <c r="B33" s="83"/>
      <c r="J33" s="47"/>
      <c r="K33" s="84"/>
      <c r="L33" s="85" t="b">
        <v>0</v>
      </c>
      <c r="M33" s="86"/>
      <c r="N33" s="87"/>
      <c r="O33" s="88"/>
      <c r="P33" s="1"/>
    </row>
    <row r="34" ht="15.75" customHeight="1">
      <c r="A34" s="40"/>
      <c r="B34" s="83"/>
      <c r="J34" s="47"/>
      <c r="K34" s="84"/>
      <c r="L34" s="85" t="b">
        <v>0</v>
      </c>
      <c r="M34" s="86"/>
      <c r="N34" s="87"/>
      <c r="O34" s="88"/>
      <c r="P34" s="1"/>
    </row>
    <row r="35" ht="15.75" customHeight="1">
      <c r="A35" s="40"/>
      <c r="B35" s="83"/>
      <c r="J35" s="47"/>
      <c r="K35" s="84"/>
      <c r="L35" s="85" t="b">
        <v>0</v>
      </c>
      <c r="M35" s="86"/>
      <c r="N35" s="87"/>
      <c r="O35" s="88"/>
      <c r="P35" s="1"/>
    </row>
    <row r="36" ht="15.75" customHeight="1">
      <c r="A36" s="40"/>
      <c r="B36" s="83"/>
      <c r="J36" s="47"/>
      <c r="K36" s="84"/>
      <c r="L36" s="85" t="b">
        <v>0</v>
      </c>
      <c r="M36" s="86"/>
      <c r="N36" s="87"/>
      <c r="O36" s="88"/>
      <c r="P36" s="1"/>
    </row>
    <row r="37" ht="15.75" customHeight="1">
      <c r="A37" s="40"/>
      <c r="B37" s="83"/>
      <c r="J37" s="47"/>
      <c r="K37" s="84"/>
      <c r="L37" s="85" t="b">
        <v>0</v>
      </c>
      <c r="M37" s="86"/>
      <c r="N37" s="87"/>
      <c r="O37" s="88"/>
      <c r="P37" s="1"/>
    </row>
    <row r="38" ht="15.75" customHeight="1">
      <c r="A38" s="40"/>
      <c r="B38" s="83"/>
      <c r="J38" s="47"/>
      <c r="K38" s="84"/>
      <c r="L38" s="85" t="b">
        <v>0</v>
      </c>
      <c r="M38" s="86"/>
      <c r="N38" s="87"/>
      <c r="O38" s="88"/>
      <c r="P38" s="1"/>
    </row>
    <row r="39" ht="15.75" customHeight="1">
      <c r="A39" s="40"/>
      <c r="B39" s="83"/>
      <c r="J39" s="47"/>
      <c r="K39" s="84"/>
      <c r="L39" s="85" t="b">
        <v>0</v>
      </c>
      <c r="M39" s="86"/>
      <c r="N39" s="87"/>
      <c r="O39" s="88"/>
      <c r="P39" s="1"/>
    </row>
    <row r="40" ht="15.75" customHeight="1">
      <c r="A40" s="40"/>
      <c r="B40" s="83"/>
      <c r="J40" s="47"/>
      <c r="K40" s="84"/>
      <c r="L40" s="85" t="b">
        <v>0</v>
      </c>
      <c r="M40" s="86"/>
      <c r="N40" s="87"/>
      <c r="O40" s="88"/>
      <c r="P40" s="1"/>
    </row>
    <row r="41" ht="15.75" customHeight="1">
      <c r="A41" s="40"/>
      <c r="B41" s="83"/>
      <c r="J41" s="47"/>
      <c r="K41" s="84"/>
      <c r="L41" s="85" t="b">
        <v>0</v>
      </c>
      <c r="M41" s="86"/>
      <c r="N41" s="87"/>
      <c r="O41" s="88"/>
      <c r="P41" s="1"/>
    </row>
    <row r="42" ht="15.75" customHeight="1">
      <c r="A42" s="40"/>
      <c r="B42" s="83"/>
      <c r="J42" s="47"/>
      <c r="K42" s="84"/>
      <c r="L42" s="85" t="b">
        <v>0</v>
      </c>
      <c r="M42" s="86"/>
      <c r="N42" s="87"/>
      <c r="O42" s="88"/>
      <c r="P42" s="1"/>
    </row>
    <row r="43" ht="15.75" customHeight="1">
      <c r="A43" s="40"/>
      <c r="B43" s="83"/>
      <c r="J43" s="47"/>
      <c r="K43" s="84"/>
      <c r="L43" s="85" t="b">
        <v>0</v>
      </c>
      <c r="M43" s="86"/>
      <c r="N43" s="87"/>
      <c r="O43" s="88"/>
      <c r="P43" s="1"/>
    </row>
    <row r="44" ht="15.75" customHeight="1">
      <c r="A44" s="40"/>
      <c r="B44" s="83"/>
      <c r="J44" s="47"/>
      <c r="K44" s="84"/>
      <c r="L44" s="85" t="b">
        <v>0</v>
      </c>
      <c r="M44" s="86"/>
      <c r="N44" s="87"/>
      <c r="O44" s="88"/>
      <c r="P44" s="1"/>
    </row>
    <row r="45" ht="15.75" customHeight="1">
      <c r="A45" s="40"/>
      <c r="B45" s="83"/>
      <c r="J45" s="47"/>
      <c r="K45" s="84"/>
      <c r="L45" s="85" t="b">
        <v>0</v>
      </c>
      <c r="M45" s="86"/>
      <c r="N45" s="87"/>
      <c r="O45" s="88"/>
      <c r="P45" s="1"/>
    </row>
    <row r="46" ht="15.75" customHeight="1">
      <c r="A46" s="40"/>
      <c r="B46" s="83"/>
      <c r="J46" s="47"/>
      <c r="K46" s="84"/>
      <c r="L46" s="85" t="b">
        <v>0</v>
      </c>
      <c r="M46" s="86"/>
      <c r="N46" s="87"/>
      <c r="O46" s="88"/>
      <c r="P46" s="1"/>
    </row>
    <row r="47" ht="15.75" customHeight="1">
      <c r="A47" s="40"/>
      <c r="B47" s="83"/>
      <c r="J47" s="47"/>
      <c r="K47" s="84"/>
      <c r="L47" s="85" t="b">
        <v>0</v>
      </c>
      <c r="M47" s="86"/>
      <c r="N47" s="87"/>
      <c r="O47" s="88"/>
      <c r="P47" s="1"/>
    </row>
    <row r="48" ht="15.75" customHeight="1">
      <c r="A48" s="40"/>
      <c r="B48" s="83"/>
      <c r="J48" s="47"/>
      <c r="K48" s="84"/>
      <c r="L48" s="85" t="b">
        <v>0</v>
      </c>
      <c r="M48" s="86"/>
      <c r="N48" s="87"/>
      <c r="O48" s="88"/>
      <c r="P48" s="1"/>
    </row>
    <row r="49" ht="15.75" customHeight="1">
      <c r="A49" s="40"/>
      <c r="B49" s="89"/>
      <c r="C49" s="16"/>
      <c r="D49" s="16"/>
      <c r="E49" s="16"/>
      <c r="F49" s="16"/>
      <c r="G49" s="16"/>
      <c r="H49" s="16"/>
      <c r="I49" s="16"/>
      <c r="J49" s="90"/>
      <c r="K49" s="91"/>
      <c r="L49" s="92" t="b">
        <v>0</v>
      </c>
      <c r="M49" s="93"/>
      <c r="N49" s="94"/>
      <c r="O49" s="95"/>
      <c r="P49" s="40"/>
    </row>
    <row r="50" ht="15.75" customHeight="1">
      <c r="A50" s="40"/>
      <c r="B50" s="96"/>
      <c r="C50" s="96"/>
      <c r="D50" s="96"/>
      <c r="E50" s="96"/>
      <c r="F50" s="96"/>
      <c r="G50" s="96"/>
      <c r="H50" s="96"/>
      <c r="I50" s="1"/>
      <c r="J50" s="1"/>
      <c r="K50" s="1"/>
      <c r="L50" s="1"/>
      <c r="M50" s="1"/>
      <c r="N50" s="97"/>
      <c r="O50" s="97"/>
      <c r="P50" s="40"/>
    </row>
    <row r="51" ht="15.75" customHeight="1">
      <c r="A51" s="40"/>
      <c r="B51" s="98" t="s">
        <v>58</v>
      </c>
      <c r="C51" s="99"/>
      <c r="D51" s="99"/>
      <c r="E51" s="99"/>
      <c r="F51" s="99"/>
      <c r="G51" s="99"/>
      <c r="H51" s="99"/>
      <c r="I51" s="100"/>
      <c r="J51" s="101" t="s">
        <v>59</v>
      </c>
      <c r="K51" s="102"/>
      <c r="L51" s="1"/>
      <c r="M51" s="1"/>
      <c r="N51" s="97"/>
      <c r="O51" s="97"/>
      <c r="P51" s="40"/>
    </row>
    <row r="52" ht="15.75" customHeight="1">
      <c r="A52" s="40"/>
      <c r="B52" s="103" t="s">
        <v>60</v>
      </c>
      <c r="C52" s="104" t="s">
        <v>61</v>
      </c>
      <c r="D52" s="105"/>
      <c r="E52" s="106"/>
      <c r="F52" s="104" t="s">
        <v>62</v>
      </c>
      <c r="G52" s="105"/>
      <c r="H52" s="107"/>
      <c r="I52" s="100"/>
      <c r="J52" s="108" t="s">
        <v>63</v>
      </c>
      <c r="K52" s="109"/>
      <c r="L52" s="110"/>
      <c r="M52" s="111" t="s">
        <v>64</v>
      </c>
      <c r="N52" s="109"/>
      <c r="O52" s="102"/>
      <c r="P52" s="40"/>
    </row>
    <row r="53" ht="15.75" customHeight="1">
      <c r="A53" s="40"/>
      <c r="B53" s="112"/>
      <c r="C53" s="113" t="s">
        <v>65</v>
      </c>
      <c r="D53" s="114" t="s">
        <v>66</v>
      </c>
      <c r="E53" s="115" t="s">
        <v>67</v>
      </c>
      <c r="F53" s="113" t="s">
        <v>65</v>
      </c>
      <c r="G53" s="114" t="s">
        <v>66</v>
      </c>
      <c r="H53" s="116" t="s">
        <v>67</v>
      </c>
      <c r="I53" s="110"/>
      <c r="J53" s="117" t="str">
        <f t="array" ref="J53">GPA({$K$8:$K$49,$M$8:$M$49,$O$8:$O$49},1,2)</f>
        <v>Loading...</v>
      </c>
      <c r="K53" s="118"/>
      <c r="L53" s="110"/>
      <c r="M53" s="119" t="str">
        <f t="array" ref="M53">CREDITSSUM({$K$8:$K$49,$M$8:$M$49},1,2)</f>
        <v>Loading...</v>
      </c>
      <c r="N53" s="118"/>
      <c r="O53" s="120"/>
      <c r="P53" s="40"/>
    </row>
    <row r="54" ht="15.75" customHeight="1">
      <c r="A54" s="40"/>
      <c r="B54" s="132" t="s">
        <v>68</v>
      </c>
      <c r="C54" s="122"/>
      <c r="D54" s="84"/>
      <c r="E54" s="123"/>
      <c r="F54" s="86"/>
      <c r="G54" s="84"/>
      <c r="H54" s="124"/>
      <c r="I54" s="110"/>
      <c r="J54" s="1"/>
      <c r="K54" s="1"/>
      <c r="L54" s="1"/>
      <c r="M54" s="1"/>
      <c r="N54" s="1"/>
      <c r="O54" s="1"/>
      <c r="P54" s="40"/>
    </row>
    <row r="55" ht="15.75" customHeight="1">
      <c r="A55" s="73"/>
      <c r="B55" s="132" t="s">
        <v>69</v>
      </c>
      <c r="C55" s="122"/>
      <c r="D55" s="84"/>
      <c r="E55" s="123"/>
      <c r="F55" s="86"/>
      <c r="G55" s="84"/>
      <c r="H55" s="124"/>
      <c r="I55" s="59"/>
      <c r="K55" s="60"/>
      <c r="L55" s="60"/>
      <c r="M55" s="60"/>
      <c r="N55" s="60"/>
      <c r="O55" s="60"/>
      <c r="P55" s="40"/>
    </row>
    <row r="56" ht="15.75" customHeight="1">
      <c r="A56" s="73"/>
      <c r="B56" s="121" t="s">
        <v>70</v>
      </c>
      <c r="C56" s="122"/>
      <c r="D56" s="84"/>
      <c r="E56" s="123"/>
      <c r="F56" s="86"/>
      <c r="G56" s="84"/>
      <c r="H56" s="124"/>
      <c r="I56" s="59"/>
      <c r="K56" s="60"/>
      <c r="L56" s="60"/>
      <c r="M56" s="60"/>
      <c r="N56" s="60"/>
      <c r="O56" s="60"/>
      <c r="P56" s="40"/>
    </row>
    <row r="57" ht="15.75" customHeight="1">
      <c r="A57" s="73"/>
      <c r="B57" s="125" t="s">
        <v>71</v>
      </c>
      <c r="C57" s="126"/>
      <c r="D57" s="127"/>
      <c r="E57" s="128"/>
      <c r="F57" s="129"/>
      <c r="G57" s="127"/>
      <c r="H57" s="130"/>
      <c r="I57" s="59"/>
      <c r="J57" s="59"/>
      <c r="K57" s="60"/>
      <c r="L57" s="60"/>
      <c r="M57" s="60"/>
      <c r="N57" s="60"/>
      <c r="O57" s="60"/>
      <c r="P57" s="40"/>
    </row>
    <row r="58" ht="15.75" customHeight="1">
      <c r="A58" s="40"/>
      <c r="B58" s="96"/>
      <c r="C58" s="96"/>
      <c r="D58" s="96"/>
      <c r="E58" s="96"/>
      <c r="F58" s="96"/>
      <c r="G58" s="96"/>
      <c r="H58" s="96"/>
      <c r="I58" s="97"/>
      <c r="J58" s="97"/>
      <c r="K58" s="97"/>
      <c r="L58" s="131"/>
      <c r="M58" s="97"/>
      <c r="N58" s="97"/>
      <c r="O58" s="97"/>
      <c r="P58" s="40"/>
    </row>
    <row r="59" ht="15.75" customHeight="1">
      <c r="A59" s="40"/>
      <c r="B59" s="96"/>
      <c r="C59" s="96"/>
      <c r="D59" s="96"/>
      <c r="E59" s="96"/>
      <c r="F59" s="96"/>
      <c r="G59" s="96"/>
      <c r="H59" s="96"/>
      <c r="I59" s="97"/>
      <c r="J59" s="97"/>
      <c r="K59" s="97"/>
      <c r="L59" s="131"/>
      <c r="M59" s="97"/>
      <c r="N59" s="97"/>
      <c r="O59" s="97"/>
      <c r="P59" s="40"/>
    </row>
  </sheetData>
  <mergeCells count="71">
    <mergeCell ref="B40:J40"/>
    <mergeCell ref="B41:J41"/>
    <mergeCell ref="B42:J42"/>
    <mergeCell ref="B43:J43"/>
    <mergeCell ref="B44:J44"/>
    <mergeCell ref="B45:J45"/>
    <mergeCell ref="B46:J46"/>
    <mergeCell ref="J52:K52"/>
    <mergeCell ref="M52:O52"/>
    <mergeCell ref="M53:O53"/>
    <mergeCell ref="I55:J55"/>
    <mergeCell ref="I56:J56"/>
    <mergeCell ref="B47:J47"/>
    <mergeCell ref="B48:J48"/>
    <mergeCell ref="B49:J49"/>
    <mergeCell ref="J51:K51"/>
    <mergeCell ref="B52:B53"/>
    <mergeCell ref="C52:E52"/>
    <mergeCell ref="F52:H52"/>
    <mergeCell ref="J53:K53"/>
    <mergeCell ref="C1:H1"/>
    <mergeCell ref="I1:O1"/>
    <mergeCell ref="C2:E2"/>
    <mergeCell ref="F2:H2"/>
    <mergeCell ref="I2:J2"/>
    <mergeCell ref="K2:O2"/>
    <mergeCell ref="C3:E3"/>
    <mergeCell ref="K3:O3"/>
    <mergeCell ref="F3:H3"/>
    <mergeCell ref="I3:J3"/>
    <mergeCell ref="C4:E4"/>
    <mergeCell ref="F4:H4"/>
    <mergeCell ref="I4:J4"/>
    <mergeCell ref="K4:O4"/>
    <mergeCell ref="C5:E6"/>
    <mergeCell ref="K5:O6"/>
    <mergeCell ref="F5:H6"/>
    <mergeCell ref="I5:J6"/>
    <mergeCell ref="B7:J7"/>
    <mergeCell ref="B8:J8"/>
    <mergeCell ref="B9:J9"/>
    <mergeCell ref="B10:J10"/>
    <mergeCell ref="B11:J11"/>
    <mergeCell ref="B12:J12"/>
    <mergeCell ref="B13:J13"/>
    <mergeCell ref="B14:J14"/>
    <mergeCell ref="B15:J15"/>
    <mergeCell ref="B16:J16"/>
    <mergeCell ref="B17:J17"/>
    <mergeCell ref="B18:J18"/>
    <mergeCell ref="B19:J19"/>
    <mergeCell ref="B20:J20"/>
    <mergeCell ref="B21:J21"/>
    <mergeCell ref="B22:J22"/>
    <mergeCell ref="B23:J23"/>
    <mergeCell ref="B24:J24"/>
    <mergeCell ref="B25:J25"/>
    <mergeCell ref="B26:J26"/>
    <mergeCell ref="B27:J27"/>
    <mergeCell ref="B28:J28"/>
    <mergeCell ref="B29:J29"/>
    <mergeCell ref="B30:J30"/>
    <mergeCell ref="B31:J31"/>
    <mergeCell ref="B32:J32"/>
    <mergeCell ref="B33:J33"/>
    <mergeCell ref="B34:J34"/>
    <mergeCell ref="B35:J35"/>
    <mergeCell ref="B36:J36"/>
    <mergeCell ref="B37:J37"/>
    <mergeCell ref="B38:J38"/>
    <mergeCell ref="B39:J39"/>
  </mergeCells>
  <dataValidations>
    <dataValidation type="custom" allowBlank="1" showDropDown="1" showInputMessage="1" showErrorMessage="1" prompt="Enter a number" sqref="K8:K48 O8:O49">
      <formula1>ISNUMBER(K8)</formula1>
    </dataValidation>
    <dataValidation type="list" allowBlank="1" showInputMessage="1" showErrorMessage="1" prompt="Click and enter a valid scale from the list of items. The valid scales are Letter, 0-100, 0-4, and None" sqref="B3">
      <formula1>"Letter,0-4,0-100,None"</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8.88"/>
    <col customWidth="1" min="3" max="8" width="6.38"/>
    <col customWidth="1" hidden="1" min="9" max="9" width="18.88"/>
    <col customWidth="1" min="10" max="10" width="18.88"/>
    <col customWidth="1" min="11" max="11" width="6.38"/>
    <col customWidth="1" hidden="1" min="12" max="12" width="18.88"/>
    <col customWidth="1" min="13" max="13" width="6.38"/>
    <col customWidth="1" hidden="1" min="14" max="14" width="6.38"/>
    <col customWidth="1" min="15" max="15" width="6.38"/>
  </cols>
  <sheetData>
    <row r="1" ht="31.5" customHeight="1">
      <c r="A1" s="58"/>
      <c r="B1" s="1"/>
      <c r="C1" s="71" t="s">
        <v>5</v>
      </c>
      <c r="I1" s="58" t="s">
        <v>6</v>
      </c>
      <c r="P1" s="72"/>
    </row>
    <row r="2" ht="15.75" customHeight="1">
      <c r="A2" s="73"/>
      <c r="B2" s="74" t="s">
        <v>50</v>
      </c>
      <c r="C2" s="59" t="s">
        <v>8</v>
      </c>
      <c r="F2" s="60" t="str">
        <f>'Getting Started'!$G$10</f>
        <v/>
      </c>
      <c r="I2" s="59" t="s">
        <v>9</v>
      </c>
      <c r="K2" s="60" t="str">
        <f>'Getting Started'!$I$10</f>
        <v/>
      </c>
      <c r="P2" s="40"/>
    </row>
    <row r="3" ht="15.75" customHeight="1">
      <c r="A3" s="73"/>
      <c r="B3" s="75" t="s">
        <v>51</v>
      </c>
      <c r="C3" s="59" t="s">
        <v>11</v>
      </c>
      <c r="F3" s="61" t="str">
        <f>'Getting Started'!$G$11</f>
        <v/>
      </c>
      <c r="I3" s="59" t="s">
        <v>12</v>
      </c>
      <c r="K3" s="60" t="str">
        <f>'Getting Started'!$I$11</f>
        <v/>
      </c>
      <c r="P3" s="40"/>
    </row>
    <row r="4" ht="31.5" customHeight="1">
      <c r="A4" s="73"/>
      <c r="B4" s="1"/>
      <c r="C4" s="59" t="s">
        <v>13</v>
      </c>
      <c r="F4" s="60" t="str">
        <f>'Getting Started'!$G$12</f>
        <v/>
      </c>
      <c r="I4" s="59" t="s">
        <v>14</v>
      </c>
      <c r="K4" s="60" t="str">
        <f>'Getting Started'!$I$12</f>
        <v/>
      </c>
      <c r="P4" s="40"/>
    </row>
    <row r="5" ht="15.75" customHeight="1">
      <c r="A5" s="73"/>
      <c r="B5" s="1"/>
      <c r="C5" s="59" t="s">
        <v>15</v>
      </c>
      <c r="F5" s="62" t="str">
        <f>'Getting Started'!$G$14</f>
        <v/>
      </c>
      <c r="I5" s="59" t="s">
        <v>16</v>
      </c>
      <c r="K5" s="60" t="str">
        <f>'Getting Started'!$I$14</f>
        <v/>
      </c>
      <c r="P5" s="40"/>
    </row>
    <row r="6" ht="15.75" customHeight="1">
      <c r="A6" s="73"/>
      <c r="B6" s="19" t="s">
        <v>52</v>
      </c>
      <c r="P6" s="40"/>
    </row>
    <row r="7" ht="31.5" customHeight="1">
      <c r="A7" s="40"/>
      <c r="B7" s="76" t="s">
        <v>53</v>
      </c>
      <c r="C7" s="8"/>
      <c r="D7" s="8"/>
      <c r="E7" s="8"/>
      <c r="F7" s="8"/>
      <c r="G7" s="8"/>
      <c r="H7" s="8"/>
      <c r="I7" s="8"/>
      <c r="J7" s="77"/>
      <c r="K7" s="78" t="s">
        <v>54</v>
      </c>
      <c r="L7" s="79" t="s">
        <v>55</v>
      </c>
      <c r="M7" s="80" t="s">
        <v>56</v>
      </c>
      <c r="N7" s="81"/>
      <c r="O7" s="82" t="s">
        <v>57</v>
      </c>
      <c r="P7" s="1"/>
    </row>
    <row r="8" ht="15.75" customHeight="1">
      <c r="A8" s="40"/>
      <c r="B8" s="83"/>
      <c r="J8" s="47"/>
      <c r="K8" s="84"/>
      <c r="L8" s="85" t="b">
        <v>0</v>
      </c>
      <c r="M8" s="86"/>
      <c r="N8" s="87"/>
      <c r="O8" s="88"/>
      <c r="P8" s="1"/>
    </row>
    <row r="9" ht="15.75" customHeight="1">
      <c r="A9" s="40"/>
      <c r="B9" s="83"/>
      <c r="J9" s="47"/>
      <c r="K9" s="84"/>
      <c r="L9" s="85" t="b">
        <v>0</v>
      </c>
      <c r="M9" s="86"/>
      <c r="N9" s="87"/>
      <c r="O9" s="88"/>
      <c r="P9" s="1"/>
    </row>
    <row r="10" ht="15.75" customHeight="1">
      <c r="A10" s="40"/>
      <c r="B10" s="83"/>
      <c r="J10" s="47"/>
      <c r="K10" s="84"/>
      <c r="L10" s="85" t="b">
        <v>0</v>
      </c>
      <c r="M10" s="86"/>
      <c r="N10" s="87"/>
      <c r="O10" s="88"/>
      <c r="P10" s="1"/>
    </row>
    <row r="11" ht="15.75" customHeight="1">
      <c r="A11" s="40"/>
      <c r="B11" s="83"/>
      <c r="J11" s="47"/>
      <c r="K11" s="84"/>
      <c r="L11" s="85" t="b">
        <v>0</v>
      </c>
      <c r="M11" s="86"/>
      <c r="N11" s="87"/>
      <c r="O11" s="88"/>
      <c r="P11" s="1"/>
    </row>
    <row r="12" ht="15.75" customHeight="1">
      <c r="A12" s="40"/>
      <c r="B12" s="83"/>
      <c r="J12" s="47"/>
      <c r="K12" s="84"/>
      <c r="L12" s="85" t="b">
        <v>0</v>
      </c>
      <c r="M12" s="86"/>
      <c r="N12" s="87"/>
      <c r="O12" s="88"/>
      <c r="P12" s="1"/>
    </row>
    <row r="13" ht="15.75" customHeight="1">
      <c r="A13" s="40"/>
      <c r="B13" s="83"/>
      <c r="J13" s="47"/>
      <c r="K13" s="84"/>
      <c r="L13" s="85" t="b">
        <v>0</v>
      </c>
      <c r="M13" s="86"/>
      <c r="N13" s="87"/>
      <c r="O13" s="88"/>
      <c r="P13" s="1"/>
    </row>
    <row r="14" ht="15.75" customHeight="1">
      <c r="A14" s="40"/>
      <c r="B14" s="83"/>
      <c r="J14" s="47"/>
      <c r="K14" s="84"/>
      <c r="L14" s="85" t="b">
        <v>0</v>
      </c>
      <c r="M14" s="86"/>
      <c r="N14" s="87"/>
      <c r="O14" s="88"/>
      <c r="P14" s="1"/>
    </row>
    <row r="15" ht="15.75" customHeight="1">
      <c r="A15" s="40"/>
      <c r="B15" s="83"/>
      <c r="J15" s="47"/>
      <c r="K15" s="84"/>
      <c r="L15" s="85" t="b">
        <v>0</v>
      </c>
      <c r="M15" s="86"/>
      <c r="N15" s="87"/>
      <c r="O15" s="88"/>
      <c r="P15" s="1"/>
    </row>
    <row r="16" ht="15.75" customHeight="1">
      <c r="A16" s="40"/>
      <c r="B16" s="83"/>
      <c r="J16" s="47"/>
      <c r="K16" s="84"/>
      <c r="L16" s="85" t="b">
        <v>0</v>
      </c>
      <c r="M16" s="86"/>
      <c r="N16" s="87"/>
      <c r="O16" s="88"/>
      <c r="P16" s="1"/>
    </row>
    <row r="17" ht="15.75" customHeight="1">
      <c r="A17" s="40"/>
      <c r="B17" s="83"/>
      <c r="J17" s="47"/>
      <c r="K17" s="84"/>
      <c r="L17" s="85" t="b">
        <v>0</v>
      </c>
      <c r="M17" s="86"/>
      <c r="N17" s="87"/>
      <c r="O17" s="88"/>
      <c r="P17" s="1"/>
    </row>
    <row r="18" ht="15.75" customHeight="1">
      <c r="A18" s="40"/>
      <c r="B18" s="83"/>
      <c r="J18" s="47"/>
      <c r="K18" s="84"/>
      <c r="L18" s="85" t="b">
        <v>0</v>
      </c>
      <c r="M18" s="86"/>
      <c r="N18" s="87"/>
      <c r="O18" s="88"/>
      <c r="P18" s="1"/>
    </row>
    <row r="19" ht="15.75" customHeight="1">
      <c r="A19" s="40"/>
      <c r="B19" s="83"/>
      <c r="J19" s="47"/>
      <c r="K19" s="84"/>
      <c r="L19" s="85" t="b">
        <v>0</v>
      </c>
      <c r="M19" s="86"/>
      <c r="N19" s="87"/>
      <c r="O19" s="88"/>
      <c r="P19" s="1"/>
    </row>
    <row r="20" ht="15.75" customHeight="1">
      <c r="A20" s="40"/>
      <c r="B20" s="83"/>
      <c r="J20" s="47"/>
      <c r="K20" s="84"/>
      <c r="L20" s="85" t="b">
        <v>0</v>
      </c>
      <c r="M20" s="86"/>
      <c r="N20" s="87"/>
      <c r="O20" s="88"/>
      <c r="P20" s="1"/>
    </row>
    <row r="21" ht="15.75" customHeight="1">
      <c r="A21" s="40"/>
      <c r="B21" s="83"/>
      <c r="J21" s="47"/>
      <c r="K21" s="84"/>
      <c r="L21" s="85" t="b">
        <v>0</v>
      </c>
      <c r="M21" s="86"/>
      <c r="N21" s="87"/>
      <c r="O21" s="88"/>
      <c r="P21" s="1"/>
    </row>
    <row r="22" ht="15.75" customHeight="1">
      <c r="A22" s="40"/>
      <c r="B22" s="83"/>
      <c r="J22" s="47"/>
      <c r="K22" s="84"/>
      <c r="L22" s="85" t="b">
        <v>0</v>
      </c>
      <c r="M22" s="86"/>
      <c r="N22" s="87"/>
      <c r="O22" s="88"/>
      <c r="P22" s="1"/>
    </row>
    <row r="23" ht="15.75" customHeight="1">
      <c r="A23" s="40"/>
      <c r="B23" s="83"/>
      <c r="J23" s="47"/>
      <c r="K23" s="84"/>
      <c r="L23" s="85" t="b">
        <v>0</v>
      </c>
      <c r="M23" s="86"/>
      <c r="N23" s="87"/>
      <c r="O23" s="88"/>
      <c r="P23" s="1"/>
    </row>
    <row r="24" ht="15.75" customHeight="1">
      <c r="A24" s="40"/>
      <c r="B24" s="83"/>
      <c r="J24" s="47"/>
      <c r="K24" s="84"/>
      <c r="L24" s="85" t="b">
        <v>0</v>
      </c>
      <c r="M24" s="86"/>
      <c r="N24" s="87"/>
      <c r="O24" s="88"/>
      <c r="P24" s="1"/>
    </row>
    <row r="25" ht="15.75" customHeight="1">
      <c r="A25" s="40"/>
      <c r="B25" s="83"/>
      <c r="J25" s="47"/>
      <c r="K25" s="84"/>
      <c r="L25" s="85" t="b">
        <v>0</v>
      </c>
      <c r="M25" s="86"/>
      <c r="N25" s="87"/>
      <c r="O25" s="88"/>
      <c r="P25" s="1"/>
    </row>
    <row r="26" ht="15.75" customHeight="1">
      <c r="A26" s="40"/>
      <c r="B26" s="83"/>
      <c r="J26" s="47"/>
      <c r="K26" s="84"/>
      <c r="L26" s="85" t="b">
        <v>0</v>
      </c>
      <c r="M26" s="86"/>
      <c r="N26" s="87"/>
      <c r="O26" s="88"/>
      <c r="P26" s="1"/>
    </row>
    <row r="27" ht="15.75" customHeight="1">
      <c r="A27" s="40"/>
      <c r="B27" s="83"/>
      <c r="J27" s="47"/>
      <c r="K27" s="84"/>
      <c r="L27" s="85" t="b">
        <v>0</v>
      </c>
      <c r="M27" s="86"/>
      <c r="N27" s="87"/>
      <c r="O27" s="88"/>
      <c r="P27" s="1"/>
    </row>
    <row r="28" ht="15.75" customHeight="1">
      <c r="A28" s="40"/>
      <c r="B28" s="83"/>
      <c r="J28" s="47"/>
      <c r="K28" s="84"/>
      <c r="L28" s="85" t="b">
        <v>0</v>
      </c>
      <c r="M28" s="86"/>
      <c r="N28" s="87"/>
      <c r="O28" s="88"/>
      <c r="P28" s="1"/>
    </row>
    <row r="29" ht="15.75" customHeight="1">
      <c r="A29" s="40"/>
      <c r="B29" s="83"/>
      <c r="J29" s="47"/>
      <c r="K29" s="84"/>
      <c r="L29" s="85" t="b">
        <v>0</v>
      </c>
      <c r="M29" s="86"/>
      <c r="N29" s="87"/>
      <c r="O29" s="88"/>
      <c r="P29" s="1"/>
    </row>
    <row r="30" ht="15.75" customHeight="1">
      <c r="A30" s="40"/>
      <c r="B30" s="83"/>
      <c r="J30" s="47"/>
      <c r="K30" s="84"/>
      <c r="L30" s="85" t="b">
        <v>0</v>
      </c>
      <c r="M30" s="86"/>
      <c r="N30" s="87"/>
      <c r="O30" s="88"/>
      <c r="P30" s="1"/>
    </row>
    <row r="31" ht="15.75" customHeight="1">
      <c r="A31" s="40"/>
      <c r="B31" s="83"/>
      <c r="J31" s="47"/>
      <c r="K31" s="84"/>
      <c r="L31" s="85" t="b">
        <v>0</v>
      </c>
      <c r="M31" s="86"/>
      <c r="N31" s="87"/>
      <c r="O31" s="88"/>
      <c r="P31" s="1"/>
    </row>
    <row r="32" ht="15.75" customHeight="1">
      <c r="A32" s="40"/>
      <c r="B32" s="83"/>
      <c r="J32" s="47"/>
      <c r="K32" s="84"/>
      <c r="L32" s="85" t="b">
        <v>0</v>
      </c>
      <c r="M32" s="86"/>
      <c r="N32" s="87"/>
      <c r="O32" s="88"/>
      <c r="P32" s="1"/>
    </row>
    <row r="33" ht="15.75" customHeight="1">
      <c r="A33" s="40"/>
      <c r="B33" s="83"/>
      <c r="J33" s="47"/>
      <c r="K33" s="84"/>
      <c r="L33" s="85" t="b">
        <v>0</v>
      </c>
      <c r="M33" s="86"/>
      <c r="N33" s="87"/>
      <c r="O33" s="88"/>
      <c r="P33" s="1"/>
    </row>
    <row r="34" ht="15.75" customHeight="1">
      <c r="A34" s="40"/>
      <c r="B34" s="83"/>
      <c r="J34" s="47"/>
      <c r="K34" s="84"/>
      <c r="L34" s="85" t="b">
        <v>0</v>
      </c>
      <c r="M34" s="86"/>
      <c r="N34" s="87"/>
      <c r="O34" s="88"/>
      <c r="P34" s="1"/>
    </row>
    <row r="35" ht="15.75" customHeight="1">
      <c r="A35" s="40"/>
      <c r="B35" s="83"/>
      <c r="J35" s="47"/>
      <c r="K35" s="84"/>
      <c r="L35" s="85" t="b">
        <v>0</v>
      </c>
      <c r="M35" s="86"/>
      <c r="N35" s="87"/>
      <c r="O35" s="88"/>
      <c r="P35" s="1"/>
    </row>
    <row r="36" ht="15.75" customHeight="1">
      <c r="A36" s="40"/>
      <c r="B36" s="83"/>
      <c r="J36" s="47"/>
      <c r="K36" s="84"/>
      <c r="L36" s="85" t="b">
        <v>0</v>
      </c>
      <c r="M36" s="86"/>
      <c r="N36" s="87"/>
      <c r="O36" s="88"/>
      <c r="P36" s="1"/>
    </row>
    <row r="37" ht="15.75" customHeight="1">
      <c r="A37" s="40"/>
      <c r="B37" s="83"/>
      <c r="J37" s="47"/>
      <c r="K37" s="84"/>
      <c r="L37" s="85" t="b">
        <v>0</v>
      </c>
      <c r="M37" s="86"/>
      <c r="N37" s="87"/>
      <c r="O37" s="88"/>
      <c r="P37" s="1"/>
    </row>
    <row r="38" ht="15.75" customHeight="1">
      <c r="A38" s="40"/>
      <c r="B38" s="83"/>
      <c r="J38" s="47"/>
      <c r="K38" s="84"/>
      <c r="L38" s="85" t="b">
        <v>0</v>
      </c>
      <c r="M38" s="86"/>
      <c r="N38" s="87"/>
      <c r="O38" s="88"/>
      <c r="P38" s="1"/>
    </row>
    <row r="39" ht="15.75" customHeight="1">
      <c r="A39" s="40"/>
      <c r="B39" s="83"/>
      <c r="J39" s="47"/>
      <c r="K39" s="84"/>
      <c r="L39" s="85" t="b">
        <v>0</v>
      </c>
      <c r="M39" s="86"/>
      <c r="N39" s="87"/>
      <c r="O39" s="88"/>
      <c r="P39" s="1"/>
    </row>
    <row r="40" ht="15.75" customHeight="1">
      <c r="A40" s="40"/>
      <c r="B40" s="83"/>
      <c r="J40" s="47"/>
      <c r="K40" s="84"/>
      <c r="L40" s="85" t="b">
        <v>0</v>
      </c>
      <c r="M40" s="86"/>
      <c r="N40" s="87"/>
      <c r="O40" s="88"/>
      <c r="P40" s="1"/>
    </row>
    <row r="41" ht="15.75" customHeight="1">
      <c r="A41" s="40"/>
      <c r="B41" s="83"/>
      <c r="J41" s="47"/>
      <c r="K41" s="84"/>
      <c r="L41" s="85" t="b">
        <v>0</v>
      </c>
      <c r="M41" s="86"/>
      <c r="N41" s="87"/>
      <c r="O41" s="88"/>
      <c r="P41" s="1"/>
    </row>
    <row r="42" ht="15.75" customHeight="1">
      <c r="A42" s="40"/>
      <c r="B42" s="83"/>
      <c r="J42" s="47"/>
      <c r="K42" s="84"/>
      <c r="L42" s="85" t="b">
        <v>0</v>
      </c>
      <c r="M42" s="86"/>
      <c r="N42" s="87"/>
      <c r="O42" s="88"/>
      <c r="P42" s="1"/>
    </row>
    <row r="43" ht="15.75" customHeight="1">
      <c r="A43" s="40"/>
      <c r="B43" s="83"/>
      <c r="J43" s="47"/>
      <c r="K43" s="84"/>
      <c r="L43" s="85" t="b">
        <v>0</v>
      </c>
      <c r="M43" s="86"/>
      <c r="N43" s="87"/>
      <c r="O43" s="88"/>
      <c r="P43" s="1"/>
    </row>
    <row r="44" ht="15.75" customHeight="1">
      <c r="A44" s="40"/>
      <c r="B44" s="83"/>
      <c r="J44" s="47"/>
      <c r="K44" s="84"/>
      <c r="L44" s="85" t="b">
        <v>0</v>
      </c>
      <c r="M44" s="86"/>
      <c r="N44" s="87"/>
      <c r="O44" s="88"/>
      <c r="P44" s="1"/>
    </row>
    <row r="45" ht="15.75" customHeight="1">
      <c r="A45" s="40"/>
      <c r="B45" s="83"/>
      <c r="J45" s="47"/>
      <c r="K45" s="84"/>
      <c r="L45" s="85" t="b">
        <v>0</v>
      </c>
      <c r="M45" s="86"/>
      <c r="N45" s="87"/>
      <c r="O45" s="88"/>
      <c r="P45" s="1"/>
    </row>
    <row r="46" ht="15.75" customHeight="1">
      <c r="A46" s="40"/>
      <c r="B46" s="83"/>
      <c r="J46" s="47"/>
      <c r="K46" s="84"/>
      <c r="L46" s="85" t="b">
        <v>0</v>
      </c>
      <c r="M46" s="86"/>
      <c r="N46" s="87"/>
      <c r="O46" s="88"/>
      <c r="P46" s="1"/>
    </row>
    <row r="47" ht="15.75" customHeight="1">
      <c r="A47" s="40"/>
      <c r="B47" s="83"/>
      <c r="J47" s="47"/>
      <c r="K47" s="84"/>
      <c r="L47" s="85" t="b">
        <v>0</v>
      </c>
      <c r="M47" s="86"/>
      <c r="N47" s="87"/>
      <c r="O47" s="88"/>
      <c r="P47" s="1"/>
    </row>
    <row r="48" ht="15.75" customHeight="1">
      <c r="A48" s="40"/>
      <c r="B48" s="83"/>
      <c r="J48" s="47"/>
      <c r="K48" s="84"/>
      <c r="L48" s="85" t="b">
        <v>0</v>
      </c>
      <c r="M48" s="86"/>
      <c r="N48" s="87"/>
      <c r="O48" s="88"/>
      <c r="P48" s="1"/>
    </row>
    <row r="49" ht="15.75" customHeight="1">
      <c r="A49" s="40"/>
      <c r="B49" s="89"/>
      <c r="C49" s="16"/>
      <c r="D49" s="16"/>
      <c r="E49" s="16"/>
      <c r="F49" s="16"/>
      <c r="G49" s="16"/>
      <c r="H49" s="16"/>
      <c r="I49" s="16"/>
      <c r="J49" s="90"/>
      <c r="K49" s="91"/>
      <c r="L49" s="92" t="b">
        <v>0</v>
      </c>
      <c r="M49" s="93"/>
      <c r="N49" s="94"/>
      <c r="O49" s="95"/>
      <c r="P49" s="40"/>
    </row>
    <row r="50" ht="15.75" customHeight="1">
      <c r="A50" s="40"/>
      <c r="B50" s="96"/>
      <c r="C50" s="96"/>
      <c r="D50" s="96"/>
      <c r="E50" s="96"/>
      <c r="F50" s="96"/>
      <c r="G50" s="96"/>
      <c r="H50" s="96"/>
      <c r="I50" s="1"/>
      <c r="J50" s="1"/>
      <c r="K50" s="1"/>
      <c r="L50" s="1"/>
      <c r="M50" s="1"/>
      <c r="N50" s="97"/>
      <c r="O50" s="97"/>
      <c r="P50" s="40"/>
    </row>
    <row r="51" ht="15.75" customHeight="1">
      <c r="A51" s="40"/>
      <c r="B51" s="98" t="s">
        <v>58</v>
      </c>
      <c r="C51" s="99"/>
      <c r="D51" s="99"/>
      <c r="E51" s="99"/>
      <c r="F51" s="99"/>
      <c r="G51" s="99"/>
      <c r="H51" s="99"/>
      <c r="I51" s="100"/>
      <c r="J51" s="101" t="s">
        <v>59</v>
      </c>
      <c r="K51" s="102"/>
      <c r="L51" s="1"/>
      <c r="M51" s="1"/>
      <c r="N51" s="97"/>
      <c r="O51" s="97"/>
      <c r="P51" s="40"/>
    </row>
    <row r="52" ht="15.75" customHeight="1">
      <c r="A52" s="40"/>
      <c r="B52" s="103" t="s">
        <v>60</v>
      </c>
      <c r="C52" s="104" t="s">
        <v>61</v>
      </c>
      <c r="D52" s="105"/>
      <c r="E52" s="106"/>
      <c r="F52" s="104" t="s">
        <v>62</v>
      </c>
      <c r="G52" s="105"/>
      <c r="H52" s="107"/>
      <c r="I52" s="100"/>
      <c r="J52" s="108" t="s">
        <v>63</v>
      </c>
      <c r="K52" s="109"/>
      <c r="L52" s="110"/>
      <c r="M52" s="111" t="s">
        <v>64</v>
      </c>
      <c r="N52" s="109"/>
      <c r="O52" s="102"/>
      <c r="P52" s="40"/>
    </row>
    <row r="53" ht="15.75" customHeight="1">
      <c r="A53" s="40"/>
      <c r="B53" s="112"/>
      <c r="C53" s="113" t="s">
        <v>65</v>
      </c>
      <c r="D53" s="114" t="s">
        <v>66</v>
      </c>
      <c r="E53" s="115" t="s">
        <v>67</v>
      </c>
      <c r="F53" s="113" t="s">
        <v>65</v>
      </c>
      <c r="G53" s="114" t="s">
        <v>66</v>
      </c>
      <c r="H53" s="116" t="s">
        <v>67</v>
      </c>
      <c r="I53" s="110"/>
      <c r="J53" s="117" t="str">
        <f t="array" ref="J53">GPA({$K$8:$K$49,$M$8:$M$49,$O$8:$O$49},1,2)</f>
        <v>Loading...</v>
      </c>
      <c r="K53" s="118"/>
      <c r="L53" s="110"/>
      <c r="M53" s="119" t="str">
        <f t="array" ref="M53">CREDITSSUM({$K$8:$K$49,$M$8:$M$49},1,2)</f>
        <v>Loading...</v>
      </c>
      <c r="N53" s="118"/>
      <c r="O53" s="120"/>
      <c r="P53" s="40"/>
    </row>
    <row r="54" ht="15.75" customHeight="1">
      <c r="A54" s="40"/>
      <c r="B54" s="132" t="s">
        <v>68</v>
      </c>
      <c r="C54" s="122"/>
      <c r="D54" s="84"/>
      <c r="E54" s="123"/>
      <c r="F54" s="86"/>
      <c r="G54" s="84"/>
      <c r="H54" s="124"/>
      <c r="I54" s="110"/>
      <c r="J54" s="1"/>
      <c r="K54" s="1"/>
      <c r="L54" s="1"/>
      <c r="M54" s="1"/>
      <c r="N54" s="1"/>
      <c r="O54" s="1"/>
      <c r="P54" s="40"/>
    </row>
    <row r="55" ht="15.75" customHeight="1">
      <c r="A55" s="73"/>
      <c r="B55" s="132" t="s">
        <v>69</v>
      </c>
      <c r="C55" s="122"/>
      <c r="D55" s="84"/>
      <c r="E55" s="123"/>
      <c r="F55" s="86"/>
      <c r="G55" s="84"/>
      <c r="H55" s="124"/>
      <c r="I55" s="59"/>
      <c r="K55" s="60"/>
      <c r="L55" s="60"/>
      <c r="M55" s="60"/>
      <c r="N55" s="60"/>
      <c r="O55" s="60"/>
      <c r="P55" s="40"/>
    </row>
    <row r="56" ht="15.75" customHeight="1">
      <c r="A56" s="73"/>
      <c r="B56" s="121" t="s">
        <v>70</v>
      </c>
      <c r="C56" s="122"/>
      <c r="D56" s="84"/>
      <c r="E56" s="123"/>
      <c r="F56" s="86"/>
      <c r="G56" s="84"/>
      <c r="H56" s="124"/>
      <c r="I56" s="59"/>
      <c r="K56" s="60"/>
      <c r="L56" s="60"/>
      <c r="M56" s="60"/>
      <c r="N56" s="60"/>
      <c r="O56" s="60"/>
      <c r="P56" s="40"/>
    </row>
    <row r="57" ht="15.75" customHeight="1">
      <c r="A57" s="73"/>
      <c r="B57" s="125" t="s">
        <v>71</v>
      </c>
      <c r="C57" s="126"/>
      <c r="D57" s="127"/>
      <c r="E57" s="128"/>
      <c r="F57" s="129"/>
      <c r="G57" s="127"/>
      <c r="H57" s="130"/>
      <c r="I57" s="59"/>
      <c r="J57" s="59"/>
      <c r="K57" s="60"/>
      <c r="L57" s="60"/>
      <c r="M57" s="60"/>
      <c r="N57" s="60"/>
      <c r="O57" s="60"/>
      <c r="P57" s="40"/>
    </row>
    <row r="58" ht="15.75" customHeight="1">
      <c r="A58" s="40"/>
      <c r="B58" s="96"/>
      <c r="C58" s="96"/>
      <c r="D58" s="96"/>
      <c r="E58" s="96"/>
      <c r="F58" s="96"/>
      <c r="G58" s="96"/>
      <c r="H58" s="96"/>
      <c r="I58" s="97"/>
      <c r="J58" s="97"/>
      <c r="K58" s="97"/>
      <c r="L58" s="131"/>
      <c r="M58" s="97"/>
      <c r="N58" s="97"/>
      <c r="O58" s="97"/>
      <c r="P58" s="40"/>
    </row>
    <row r="59" ht="15.75" customHeight="1">
      <c r="A59" s="40"/>
      <c r="B59" s="96"/>
      <c r="C59" s="96"/>
      <c r="D59" s="96"/>
      <c r="E59" s="96"/>
      <c r="F59" s="96"/>
      <c r="G59" s="96"/>
      <c r="H59" s="96"/>
      <c r="I59" s="97"/>
      <c r="J59" s="97"/>
      <c r="K59" s="97"/>
      <c r="L59" s="131"/>
      <c r="M59" s="97"/>
      <c r="N59" s="97"/>
      <c r="O59" s="97"/>
      <c r="P59" s="40"/>
    </row>
  </sheetData>
  <mergeCells count="71">
    <mergeCell ref="B40:J40"/>
    <mergeCell ref="B41:J41"/>
    <mergeCell ref="B42:J42"/>
    <mergeCell ref="B43:J43"/>
    <mergeCell ref="B44:J44"/>
    <mergeCell ref="B45:J45"/>
    <mergeCell ref="B46:J46"/>
    <mergeCell ref="J52:K52"/>
    <mergeCell ref="M52:O52"/>
    <mergeCell ref="M53:O53"/>
    <mergeCell ref="I55:J55"/>
    <mergeCell ref="I56:J56"/>
    <mergeCell ref="B47:J47"/>
    <mergeCell ref="B48:J48"/>
    <mergeCell ref="B49:J49"/>
    <mergeCell ref="J51:K51"/>
    <mergeCell ref="B52:B53"/>
    <mergeCell ref="C52:E52"/>
    <mergeCell ref="F52:H52"/>
    <mergeCell ref="J53:K53"/>
    <mergeCell ref="C1:H1"/>
    <mergeCell ref="I1:O1"/>
    <mergeCell ref="C2:E2"/>
    <mergeCell ref="F2:H2"/>
    <mergeCell ref="I2:J2"/>
    <mergeCell ref="K2:O2"/>
    <mergeCell ref="C3:E3"/>
    <mergeCell ref="K3:O3"/>
    <mergeCell ref="F3:H3"/>
    <mergeCell ref="I3:J3"/>
    <mergeCell ref="C4:E4"/>
    <mergeCell ref="F4:H4"/>
    <mergeCell ref="I4:J4"/>
    <mergeCell ref="K4:O4"/>
    <mergeCell ref="C5:E6"/>
    <mergeCell ref="K5:O6"/>
    <mergeCell ref="F5:H6"/>
    <mergeCell ref="I5:J6"/>
    <mergeCell ref="B7:J7"/>
    <mergeCell ref="B8:J8"/>
    <mergeCell ref="B9:J9"/>
    <mergeCell ref="B10:J10"/>
    <mergeCell ref="B11:J11"/>
    <mergeCell ref="B12:J12"/>
    <mergeCell ref="B13:J13"/>
    <mergeCell ref="B14:J14"/>
    <mergeCell ref="B15:J15"/>
    <mergeCell ref="B16:J16"/>
    <mergeCell ref="B17:J17"/>
    <mergeCell ref="B18:J18"/>
    <mergeCell ref="B19:J19"/>
    <mergeCell ref="B20:J20"/>
    <mergeCell ref="B21:J21"/>
    <mergeCell ref="B22:J22"/>
    <mergeCell ref="B23:J23"/>
    <mergeCell ref="B24:J24"/>
    <mergeCell ref="B25:J25"/>
    <mergeCell ref="B26:J26"/>
    <mergeCell ref="B27:J27"/>
    <mergeCell ref="B28:J28"/>
    <mergeCell ref="B29:J29"/>
    <mergeCell ref="B30:J30"/>
    <mergeCell ref="B31:J31"/>
    <mergeCell ref="B32:J32"/>
    <mergeCell ref="B33:J33"/>
    <mergeCell ref="B34:J34"/>
    <mergeCell ref="B35:J35"/>
    <mergeCell ref="B36:J36"/>
    <mergeCell ref="B37:J37"/>
    <mergeCell ref="B38:J38"/>
    <mergeCell ref="B39:J39"/>
  </mergeCells>
  <dataValidations>
    <dataValidation type="custom" allowBlank="1" showDropDown="1" showInputMessage="1" showErrorMessage="1" prompt="Enter a number" sqref="K8:K48 O8:O49">
      <formula1>ISNUMBER(K8)</formula1>
    </dataValidation>
    <dataValidation type="list" allowBlank="1" showInputMessage="1" showErrorMessage="1" prompt="Click and enter a valid scale from the list of items. The valid scales are Letter, 0-100, 0-4, and None" sqref="B3">
      <formula1>"Letter,0-4,0-100,None"</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8.88"/>
    <col customWidth="1" min="3" max="8" width="6.38"/>
    <col customWidth="1" hidden="1" min="9" max="9" width="18.88"/>
    <col customWidth="1" min="10" max="10" width="18.88"/>
    <col customWidth="1" min="11" max="11" width="6.38"/>
    <col customWidth="1" hidden="1" min="12" max="12" width="18.88"/>
    <col customWidth="1" min="13" max="13" width="6.38"/>
    <col customWidth="1" hidden="1" min="14" max="14" width="6.38"/>
    <col customWidth="1" min="15" max="15" width="6.38"/>
  </cols>
  <sheetData>
    <row r="1" ht="31.5" customHeight="1">
      <c r="A1" s="58"/>
      <c r="B1" s="1"/>
      <c r="C1" s="71" t="s">
        <v>5</v>
      </c>
      <c r="I1" s="58" t="s">
        <v>6</v>
      </c>
      <c r="P1" s="72"/>
    </row>
    <row r="2" ht="15.75" customHeight="1">
      <c r="A2" s="73"/>
      <c r="B2" s="74" t="s">
        <v>50</v>
      </c>
      <c r="C2" s="59" t="s">
        <v>8</v>
      </c>
      <c r="F2" s="60" t="str">
        <f>'Getting Started'!$G$10</f>
        <v/>
      </c>
      <c r="I2" s="59" t="s">
        <v>9</v>
      </c>
      <c r="K2" s="60" t="str">
        <f>'Getting Started'!$I$10</f>
        <v/>
      </c>
      <c r="P2" s="40"/>
    </row>
    <row r="3" ht="15.75" customHeight="1">
      <c r="A3" s="73"/>
      <c r="B3" s="75" t="s">
        <v>51</v>
      </c>
      <c r="C3" s="59" t="s">
        <v>11</v>
      </c>
      <c r="F3" s="61" t="str">
        <f>'Getting Started'!$G$11</f>
        <v/>
      </c>
      <c r="I3" s="59" t="s">
        <v>12</v>
      </c>
      <c r="K3" s="60" t="str">
        <f>'Getting Started'!$I$11</f>
        <v/>
      </c>
      <c r="P3" s="40"/>
    </row>
    <row r="4" ht="31.5" customHeight="1">
      <c r="A4" s="73"/>
      <c r="B4" s="1"/>
      <c r="C4" s="59" t="s">
        <v>13</v>
      </c>
      <c r="F4" s="60" t="str">
        <f>'Getting Started'!$G$12</f>
        <v/>
      </c>
      <c r="I4" s="59" t="s">
        <v>14</v>
      </c>
      <c r="K4" s="60" t="str">
        <f>'Getting Started'!$I$12</f>
        <v/>
      </c>
      <c r="P4" s="40"/>
    </row>
    <row r="5" ht="15.75" customHeight="1">
      <c r="A5" s="73"/>
      <c r="B5" s="1"/>
      <c r="C5" s="59" t="s">
        <v>15</v>
      </c>
      <c r="F5" s="62" t="str">
        <f>'Getting Started'!$G$14</f>
        <v/>
      </c>
      <c r="I5" s="59" t="s">
        <v>16</v>
      </c>
      <c r="K5" s="60" t="str">
        <f>'Getting Started'!$I$14</f>
        <v/>
      </c>
      <c r="P5" s="40"/>
    </row>
    <row r="6" ht="15.75" customHeight="1">
      <c r="A6" s="73"/>
      <c r="B6" s="19" t="s">
        <v>52</v>
      </c>
      <c r="P6" s="40"/>
    </row>
    <row r="7" ht="31.5" customHeight="1">
      <c r="A7" s="40"/>
      <c r="B7" s="76" t="s">
        <v>53</v>
      </c>
      <c r="C7" s="8"/>
      <c r="D7" s="8"/>
      <c r="E7" s="8"/>
      <c r="F7" s="8"/>
      <c r="G7" s="8"/>
      <c r="H7" s="8"/>
      <c r="I7" s="8"/>
      <c r="J7" s="77"/>
      <c r="K7" s="78" t="s">
        <v>54</v>
      </c>
      <c r="L7" s="79" t="s">
        <v>55</v>
      </c>
      <c r="M7" s="80" t="s">
        <v>56</v>
      </c>
      <c r="N7" s="81"/>
      <c r="O7" s="82" t="s">
        <v>57</v>
      </c>
      <c r="P7" s="1"/>
    </row>
    <row r="8" ht="15.75" customHeight="1">
      <c r="A8" s="40"/>
      <c r="B8" s="83"/>
      <c r="J8" s="47"/>
      <c r="K8" s="84"/>
      <c r="L8" s="85" t="b">
        <v>0</v>
      </c>
      <c r="M8" s="86"/>
      <c r="N8" s="87"/>
      <c r="O8" s="88"/>
      <c r="P8" s="1"/>
    </row>
    <row r="9" ht="15.75" customHeight="1">
      <c r="A9" s="40"/>
      <c r="B9" s="83"/>
      <c r="J9" s="47"/>
      <c r="K9" s="84"/>
      <c r="L9" s="85" t="b">
        <v>0</v>
      </c>
      <c r="M9" s="86"/>
      <c r="N9" s="87"/>
      <c r="O9" s="88"/>
      <c r="P9" s="1"/>
    </row>
    <row r="10" ht="15.75" customHeight="1">
      <c r="A10" s="40"/>
      <c r="B10" s="83"/>
      <c r="J10" s="47"/>
      <c r="K10" s="84"/>
      <c r="L10" s="85" t="b">
        <v>0</v>
      </c>
      <c r="M10" s="86"/>
      <c r="N10" s="87"/>
      <c r="O10" s="88"/>
      <c r="P10" s="1"/>
    </row>
    <row r="11" ht="15.75" customHeight="1">
      <c r="A11" s="40"/>
      <c r="B11" s="83"/>
      <c r="J11" s="47"/>
      <c r="K11" s="84"/>
      <c r="L11" s="85" t="b">
        <v>0</v>
      </c>
      <c r="M11" s="86"/>
      <c r="N11" s="87"/>
      <c r="O11" s="88"/>
      <c r="P11" s="1"/>
    </row>
    <row r="12" ht="15.75" customHeight="1">
      <c r="A12" s="40"/>
      <c r="B12" s="83"/>
      <c r="J12" s="47"/>
      <c r="K12" s="84"/>
      <c r="L12" s="85" t="b">
        <v>0</v>
      </c>
      <c r="M12" s="86"/>
      <c r="N12" s="87"/>
      <c r="O12" s="88"/>
      <c r="P12" s="1"/>
    </row>
    <row r="13" ht="15.75" customHeight="1">
      <c r="A13" s="40"/>
      <c r="B13" s="83"/>
      <c r="J13" s="47"/>
      <c r="K13" s="84"/>
      <c r="L13" s="85" t="b">
        <v>0</v>
      </c>
      <c r="M13" s="86"/>
      <c r="N13" s="87"/>
      <c r="O13" s="88"/>
      <c r="P13" s="1"/>
    </row>
    <row r="14" ht="15.75" customHeight="1">
      <c r="A14" s="40"/>
      <c r="B14" s="83"/>
      <c r="J14" s="47"/>
      <c r="K14" s="84"/>
      <c r="L14" s="85" t="b">
        <v>0</v>
      </c>
      <c r="M14" s="86"/>
      <c r="N14" s="87"/>
      <c r="O14" s="88"/>
      <c r="P14" s="1"/>
    </row>
    <row r="15" ht="15.75" customHeight="1">
      <c r="A15" s="40"/>
      <c r="B15" s="83"/>
      <c r="J15" s="47"/>
      <c r="K15" s="84"/>
      <c r="L15" s="85" t="b">
        <v>0</v>
      </c>
      <c r="M15" s="86"/>
      <c r="N15" s="87"/>
      <c r="O15" s="88"/>
      <c r="P15" s="1"/>
    </row>
    <row r="16" ht="15.75" customHeight="1">
      <c r="A16" s="40"/>
      <c r="B16" s="83"/>
      <c r="J16" s="47"/>
      <c r="K16" s="84"/>
      <c r="L16" s="85" t="b">
        <v>0</v>
      </c>
      <c r="M16" s="86"/>
      <c r="N16" s="87"/>
      <c r="O16" s="88"/>
      <c r="P16" s="1"/>
    </row>
    <row r="17" ht="15.75" customHeight="1">
      <c r="A17" s="40"/>
      <c r="B17" s="83"/>
      <c r="J17" s="47"/>
      <c r="K17" s="84"/>
      <c r="L17" s="85" t="b">
        <v>0</v>
      </c>
      <c r="M17" s="86"/>
      <c r="N17" s="87"/>
      <c r="O17" s="88"/>
      <c r="P17" s="1"/>
    </row>
    <row r="18" ht="15.75" customHeight="1">
      <c r="A18" s="40"/>
      <c r="B18" s="83"/>
      <c r="J18" s="47"/>
      <c r="K18" s="84"/>
      <c r="L18" s="85" t="b">
        <v>0</v>
      </c>
      <c r="M18" s="86"/>
      <c r="N18" s="87"/>
      <c r="O18" s="88"/>
      <c r="P18" s="1"/>
    </row>
    <row r="19" ht="15.75" customHeight="1">
      <c r="A19" s="40"/>
      <c r="B19" s="83"/>
      <c r="J19" s="47"/>
      <c r="K19" s="84"/>
      <c r="L19" s="85" t="b">
        <v>0</v>
      </c>
      <c r="M19" s="86"/>
      <c r="N19" s="87"/>
      <c r="O19" s="88"/>
      <c r="P19" s="1"/>
    </row>
    <row r="20" ht="15.75" customHeight="1">
      <c r="A20" s="40"/>
      <c r="B20" s="83"/>
      <c r="J20" s="47"/>
      <c r="K20" s="84"/>
      <c r="L20" s="85" t="b">
        <v>0</v>
      </c>
      <c r="M20" s="86"/>
      <c r="N20" s="87"/>
      <c r="O20" s="88"/>
      <c r="P20" s="1"/>
    </row>
    <row r="21" ht="15.75" customHeight="1">
      <c r="A21" s="40"/>
      <c r="B21" s="83"/>
      <c r="J21" s="47"/>
      <c r="K21" s="84"/>
      <c r="L21" s="85" t="b">
        <v>0</v>
      </c>
      <c r="M21" s="86"/>
      <c r="N21" s="87"/>
      <c r="O21" s="88"/>
      <c r="P21" s="1"/>
    </row>
    <row r="22" ht="15.75" customHeight="1">
      <c r="A22" s="40"/>
      <c r="B22" s="83"/>
      <c r="J22" s="47"/>
      <c r="K22" s="84"/>
      <c r="L22" s="85" t="b">
        <v>0</v>
      </c>
      <c r="M22" s="86"/>
      <c r="N22" s="87"/>
      <c r="O22" s="88"/>
      <c r="P22" s="1"/>
    </row>
    <row r="23" ht="15.75" customHeight="1">
      <c r="A23" s="40"/>
      <c r="B23" s="83"/>
      <c r="J23" s="47"/>
      <c r="K23" s="84"/>
      <c r="L23" s="85" t="b">
        <v>0</v>
      </c>
      <c r="M23" s="86"/>
      <c r="N23" s="87"/>
      <c r="O23" s="88"/>
      <c r="P23" s="1"/>
    </row>
    <row r="24" ht="15.75" customHeight="1">
      <c r="A24" s="40"/>
      <c r="B24" s="83"/>
      <c r="J24" s="47"/>
      <c r="K24" s="84"/>
      <c r="L24" s="85" t="b">
        <v>0</v>
      </c>
      <c r="M24" s="86"/>
      <c r="N24" s="87"/>
      <c r="O24" s="88"/>
      <c r="P24" s="1"/>
    </row>
    <row r="25" ht="15.75" customHeight="1">
      <c r="A25" s="40"/>
      <c r="B25" s="83"/>
      <c r="J25" s="47"/>
      <c r="K25" s="84"/>
      <c r="L25" s="85" t="b">
        <v>0</v>
      </c>
      <c r="M25" s="86"/>
      <c r="N25" s="87"/>
      <c r="O25" s="88"/>
      <c r="P25" s="1"/>
    </row>
    <row r="26" ht="15.75" customHeight="1">
      <c r="A26" s="40"/>
      <c r="B26" s="83"/>
      <c r="J26" s="47"/>
      <c r="K26" s="84"/>
      <c r="L26" s="85" t="b">
        <v>0</v>
      </c>
      <c r="M26" s="86"/>
      <c r="N26" s="87"/>
      <c r="O26" s="88"/>
      <c r="P26" s="1"/>
    </row>
    <row r="27" ht="15.75" customHeight="1">
      <c r="A27" s="40"/>
      <c r="B27" s="83"/>
      <c r="J27" s="47"/>
      <c r="K27" s="84"/>
      <c r="L27" s="85" t="b">
        <v>0</v>
      </c>
      <c r="M27" s="86"/>
      <c r="N27" s="87"/>
      <c r="O27" s="88"/>
      <c r="P27" s="1"/>
    </row>
    <row r="28" ht="15.75" customHeight="1">
      <c r="A28" s="40"/>
      <c r="B28" s="83"/>
      <c r="J28" s="47"/>
      <c r="K28" s="84"/>
      <c r="L28" s="85" t="b">
        <v>0</v>
      </c>
      <c r="M28" s="86"/>
      <c r="N28" s="87"/>
      <c r="O28" s="88"/>
      <c r="P28" s="1"/>
    </row>
    <row r="29" ht="15.75" customHeight="1">
      <c r="A29" s="40"/>
      <c r="B29" s="83"/>
      <c r="J29" s="47"/>
      <c r="K29" s="84"/>
      <c r="L29" s="85" t="b">
        <v>0</v>
      </c>
      <c r="M29" s="86"/>
      <c r="N29" s="87"/>
      <c r="O29" s="88"/>
      <c r="P29" s="1"/>
    </row>
    <row r="30" ht="15.75" customHeight="1">
      <c r="A30" s="40"/>
      <c r="B30" s="83"/>
      <c r="J30" s="47"/>
      <c r="K30" s="84"/>
      <c r="L30" s="85" t="b">
        <v>0</v>
      </c>
      <c r="M30" s="86"/>
      <c r="N30" s="87"/>
      <c r="O30" s="88"/>
      <c r="P30" s="1"/>
    </row>
    <row r="31" ht="15.75" customHeight="1">
      <c r="A31" s="40"/>
      <c r="B31" s="83"/>
      <c r="J31" s="47"/>
      <c r="K31" s="84"/>
      <c r="L31" s="85" t="b">
        <v>0</v>
      </c>
      <c r="M31" s="86"/>
      <c r="N31" s="87"/>
      <c r="O31" s="88"/>
      <c r="P31" s="1"/>
    </row>
    <row r="32" ht="15.75" customHeight="1">
      <c r="A32" s="40"/>
      <c r="B32" s="83"/>
      <c r="J32" s="47"/>
      <c r="K32" s="84"/>
      <c r="L32" s="85" t="b">
        <v>0</v>
      </c>
      <c r="M32" s="86"/>
      <c r="N32" s="87"/>
      <c r="O32" s="88"/>
      <c r="P32" s="1"/>
    </row>
    <row r="33" ht="15.75" customHeight="1">
      <c r="A33" s="40"/>
      <c r="B33" s="83"/>
      <c r="J33" s="47"/>
      <c r="K33" s="84"/>
      <c r="L33" s="85" t="b">
        <v>0</v>
      </c>
      <c r="M33" s="86"/>
      <c r="N33" s="87"/>
      <c r="O33" s="88"/>
      <c r="P33" s="1"/>
    </row>
    <row r="34" ht="15.75" customHeight="1">
      <c r="A34" s="40"/>
      <c r="B34" s="83"/>
      <c r="J34" s="47"/>
      <c r="K34" s="84"/>
      <c r="L34" s="85" t="b">
        <v>0</v>
      </c>
      <c r="M34" s="86"/>
      <c r="N34" s="87"/>
      <c r="O34" s="88"/>
      <c r="P34" s="1"/>
    </row>
    <row r="35" ht="15.75" customHeight="1">
      <c r="A35" s="40"/>
      <c r="B35" s="83"/>
      <c r="J35" s="47"/>
      <c r="K35" s="84"/>
      <c r="L35" s="85" t="b">
        <v>0</v>
      </c>
      <c r="M35" s="86"/>
      <c r="N35" s="87"/>
      <c r="O35" s="88"/>
      <c r="P35" s="1"/>
    </row>
    <row r="36" ht="15.75" customHeight="1">
      <c r="A36" s="40"/>
      <c r="B36" s="83"/>
      <c r="J36" s="47"/>
      <c r="K36" s="84"/>
      <c r="L36" s="85" t="b">
        <v>0</v>
      </c>
      <c r="M36" s="86"/>
      <c r="N36" s="87"/>
      <c r="O36" s="88"/>
      <c r="P36" s="1"/>
    </row>
    <row r="37" ht="15.75" customHeight="1">
      <c r="A37" s="40"/>
      <c r="B37" s="83"/>
      <c r="J37" s="47"/>
      <c r="K37" s="84"/>
      <c r="L37" s="85" t="b">
        <v>0</v>
      </c>
      <c r="M37" s="86"/>
      <c r="N37" s="87"/>
      <c r="O37" s="88"/>
      <c r="P37" s="1"/>
    </row>
    <row r="38" ht="15.75" customHeight="1">
      <c r="A38" s="40"/>
      <c r="B38" s="83"/>
      <c r="J38" s="47"/>
      <c r="K38" s="84"/>
      <c r="L38" s="85" t="b">
        <v>0</v>
      </c>
      <c r="M38" s="86"/>
      <c r="N38" s="87"/>
      <c r="O38" s="88"/>
      <c r="P38" s="1"/>
    </row>
    <row r="39" ht="15.75" customHeight="1">
      <c r="A39" s="40"/>
      <c r="B39" s="83"/>
      <c r="J39" s="47"/>
      <c r="K39" s="84"/>
      <c r="L39" s="85" t="b">
        <v>0</v>
      </c>
      <c r="M39" s="86"/>
      <c r="N39" s="87"/>
      <c r="O39" s="88"/>
      <c r="P39" s="1"/>
    </row>
    <row r="40" ht="15.75" customHeight="1">
      <c r="A40" s="40"/>
      <c r="B40" s="83"/>
      <c r="J40" s="47"/>
      <c r="K40" s="84"/>
      <c r="L40" s="85" t="b">
        <v>0</v>
      </c>
      <c r="M40" s="86"/>
      <c r="N40" s="87"/>
      <c r="O40" s="88"/>
      <c r="P40" s="1"/>
    </row>
    <row r="41" ht="15.75" customHeight="1">
      <c r="A41" s="40"/>
      <c r="B41" s="83"/>
      <c r="J41" s="47"/>
      <c r="K41" s="84"/>
      <c r="L41" s="85" t="b">
        <v>0</v>
      </c>
      <c r="M41" s="86"/>
      <c r="N41" s="87"/>
      <c r="O41" s="88"/>
      <c r="P41" s="1"/>
    </row>
    <row r="42" ht="15.75" customHeight="1">
      <c r="A42" s="40"/>
      <c r="B42" s="83"/>
      <c r="J42" s="47"/>
      <c r="K42" s="84"/>
      <c r="L42" s="85" t="b">
        <v>0</v>
      </c>
      <c r="M42" s="86"/>
      <c r="N42" s="87"/>
      <c r="O42" s="88"/>
      <c r="P42" s="1"/>
    </row>
    <row r="43" ht="15.75" customHeight="1">
      <c r="A43" s="40"/>
      <c r="B43" s="83"/>
      <c r="J43" s="47"/>
      <c r="K43" s="84"/>
      <c r="L43" s="85" t="b">
        <v>0</v>
      </c>
      <c r="M43" s="86"/>
      <c r="N43" s="87"/>
      <c r="O43" s="88"/>
      <c r="P43" s="1"/>
    </row>
    <row r="44" ht="15.75" customHeight="1">
      <c r="A44" s="40"/>
      <c r="B44" s="83"/>
      <c r="J44" s="47"/>
      <c r="K44" s="84"/>
      <c r="L44" s="85" t="b">
        <v>0</v>
      </c>
      <c r="M44" s="86"/>
      <c r="N44" s="87"/>
      <c r="O44" s="88"/>
      <c r="P44" s="1"/>
    </row>
    <row r="45" ht="15.75" customHeight="1">
      <c r="A45" s="40"/>
      <c r="B45" s="83"/>
      <c r="J45" s="47"/>
      <c r="K45" s="84"/>
      <c r="L45" s="85" t="b">
        <v>0</v>
      </c>
      <c r="M45" s="86"/>
      <c r="N45" s="87"/>
      <c r="O45" s="88"/>
      <c r="P45" s="1"/>
    </row>
    <row r="46" ht="15.75" customHeight="1">
      <c r="A46" s="40"/>
      <c r="B46" s="83"/>
      <c r="J46" s="47"/>
      <c r="K46" s="84"/>
      <c r="L46" s="85" t="b">
        <v>0</v>
      </c>
      <c r="M46" s="86"/>
      <c r="N46" s="87"/>
      <c r="O46" s="88"/>
      <c r="P46" s="1"/>
    </row>
    <row r="47" ht="15.75" customHeight="1">
      <c r="A47" s="40"/>
      <c r="B47" s="83"/>
      <c r="J47" s="47"/>
      <c r="K47" s="84"/>
      <c r="L47" s="85" t="b">
        <v>0</v>
      </c>
      <c r="M47" s="86"/>
      <c r="N47" s="87"/>
      <c r="O47" s="88"/>
      <c r="P47" s="1"/>
    </row>
    <row r="48" ht="15.75" customHeight="1">
      <c r="A48" s="40"/>
      <c r="B48" s="83"/>
      <c r="J48" s="47"/>
      <c r="K48" s="84"/>
      <c r="L48" s="85" t="b">
        <v>0</v>
      </c>
      <c r="M48" s="86"/>
      <c r="N48" s="87"/>
      <c r="O48" s="88"/>
      <c r="P48" s="1"/>
    </row>
    <row r="49" ht="15.75" customHeight="1">
      <c r="A49" s="40"/>
      <c r="B49" s="89"/>
      <c r="C49" s="16"/>
      <c r="D49" s="16"/>
      <c r="E49" s="16"/>
      <c r="F49" s="16"/>
      <c r="G49" s="16"/>
      <c r="H49" s="16"/>
      <c r="I49" s="16"/>
      <c r="J49" s="90"/>
      <c r="K49" s="91"/>
      <c r="L49" s="92" t="b">
        <v>0</v>
      </c>
      <c r="M49" s="93"/>
      <c r="N49" s="94"/>
      <c r="O49" s="95"/>
      <c r="P49" s="40"/>
    </row>
    <row r="50" ht="15.75" customHeight="1">
      <c r="A50" s="40"/>
      <c r="B50" s="96"/>
      <c r="C50" s="96"/>
      <c r="D50" s="96"/>
      <c r="E50" s="96"/>
      <c r="F50" s="96"/>
      <c r="G50" s="96"/>
      <c r="H50" s="96"/>
      <c r="I50" s="1"/>
      <c r="J50" s="1"/>
      <c r="K50" s="1"/>
      <c r="L50" s="1"/>
      <c r="M50" s="1"/>
      <c r="N50" s="97"/>
      <c r="O50" s="97"/>
      <c r="P50" s="40"/>
    </row>
    <row r="51" ht="15.75" customHeight="1">
      <c r="A51" s="40"/>
      <c r="B51" s="98" t="s">
        <v>58</v>
      </c>
      <c r="C51" s="99"/>
      <c r="D51" s="99"/>
      <c r="E51" s="99"/>
      <c r="F51" s="99"/>
      <c r="G51" s="99"/>
      <c r="H51" s="99"/>
      <c r="I51" s="100"/>
      <c r="J51" s="101" t="s">
        <v>59</v>
      </c>
      <c r="K51" s="102"/>
      <c r="L51" s="1"/>
      <c r="M51" s="1"/>
      <c r="N51" s="97"/>
      <c r="O51" s="97"/>
      <c r="P51" s="40"/>
    </row>
    <row r="52" ht="15.75" customHeight="1">
      <c r="A52" s="40"/>
      <c r="B52" s="103" t="s">
        <v>60</v>
      </c>
      <c r="C52" s="104" t="s">
        <v>61</v>
      </c>
      <c r="D52" s="105"/>
      <c r="E52" s="106"/>
      <c r="F52" s="104" t="s">
        <v>62</v>
      </c>
      <c r="G52" s="105"/>
      <c r="H52" s="107"/>
      <c r="I52" s="100"/>
      <c r="J52" s="108" t="s">
        <v>63</v>
      </c>
      <c r="K52" s="109"/>
      <c r="L52" s="110"/>
      <c r="M52" s="111" t="s">
        <v>64</v>
      </c>
      <c r="N52" s="109"/>
      <c r="O52" s="102"/>
      <c r="P52" s="40"/>
    </row>
    <row r="53" ht="15.75" customHeight="1">
      <c r="A53" s="40"/>
      <c r="B53" s="112"/>
      <c r="C53" s="113" t="s">
        <v>65</v>
      </c>
      <c r="D53" s="114" t="s">
        <v>66</v>
      </c>
      <c r="E53" s="115" t="s">
        <v>67</v>
      </c>
      <c r="F53" s="113" t="s">
        <v>65</v>
      </c>
      <c r="G53" s="114" t="s">
        <v>66</v>
      </c>
      <c r="H53" s="116" t="s">
        <v>67</v>
      </c>
      <c r="I53" s="110"/>
      <c r="J53" s="117" t="str">
        <f t="array" ref="J53">GPA({$K$8:$K$49,$M$8:$M$49,$O$8:$O$49},1,2)</f>
        <v>Loading...</v>
      </c>
      <c r="K53" s="118"/>
      <c r="L53" s="110"/>
      <c r="M53" s="119" t="str">
        <f t="array" ref="M53">CREDITSSUM({$K$8:$K$49,$M$8:$M$49},1,2)</f>
        <v>Loading...</v>
      </c>
      <c r="N53" s="118"/>
      <c r="O53" s="120"/>
      <c r="P53" s="40"/>
    </row>
    <row r="54" ht="15.75" customHeight="1">
      <c r="A54" s="40"/>
      <c r="B54" s="132" t="s">
        <v>68</v>
      </c>
      <c r="C54" s="122"/>
      <c r="D54" s="84"/>
      <c r="E54" s="123"/>
      <c r="F54" s="86"/>
      <c r="G54" s="84"/>
      <c r="H54" s="124"/>
      <c r="I54" s="110"/>
      <c r="J54" s="1"/>
      <c r="K54" s="1"/>
      <c r="L54" s="1"/>
      <c r="M54" s="1"/>
      <c r="N54" s="1"/>
      <c r="O54" s="1"/>
      <c r="P54" s="40"/>
    </row>
    <row r="55" ht="15.75" customHeight="1">
      <c r="A55" s="73"/>
      <c r="B55" s="132" t="s">
        <v>69</v>
      </c>
      <c r="C55" s="122"/>
      <c r="D55" s="84"/>
      <c r="E55" s="123"/>
      <c r="F55" s="86"/>
      <c r="G55" s="84"/>
      <c r="H55" s="124"/>
      <c r="I55" s="59"/>
      <c r="K55" s="60"/>
      <c r="L55" s="60"/>
      <c r="M55" s="60"/>
      <c r="N55" s="60"/>
      <c r="O55" s="60"/>
      <c r="P55" s="40"/>
    </row>
    <row r="56" ht="15.75" customHeight="1">
      <c r="A56" s="73"/>
      <c r="B56" s="121" t="s">
        <v>70</v>
      </c>
      <c r="C56" s="122"/>
      <c r="D56" s="84"/>
      <c r="E56" s="123"/>
      <c r="F56" s="86"/>
      <c r="G56" s="84"/>
      <c r="H56" s="124"/>
      <c r="I56" s="59"/>
      <c r="K56" s="60"/>
      <c r="L56" s="60"/>
      <c r="M56" s="60"/>
      <c r="N56" s="60"/>
      <c r="O56" s="60"/>
      <c r="P56" s="40"/>
    </row>
    <row r="57" ht="15.75" customHeight="1">
      <c r="A57" s="73"/>
      <c r="B57" s="125" t="s">
        <v>71</v>
      </c>
      <c r="C57" s="126"/>
      <c r="D57" s="127"/>
      <c r="E57" s="128"/>
      <c r="F57" s="129"/>
      <c r="G57" s="127"/>
      <c r="H57" s="130"/>
      <c r="I57" s="59"/>
      <c r="J57" s="59"/>
      <c r="K57" s="60"/>
      <c r="L57" s="60"/>
      <c r="M57" s="60"/>
      <c r="N57" s="60"/>
      <c r="O57" s="60"/>
      <c r="P57" s="40"/>
    </row>
    <row r="58" ht="15.75" customHeight="1">
      <c r="A58" s="40"/>
      <c r="B58" s="96"/>
      <c r="C58" s="96"/>
      <c r="D58" s="96"/>
      <c r="E58" s="96"/>
      <c r="F58" s="96"/>
      <c r="G58" s="96"/>
      <c r="H58" s="96"/>
      <c r="I58" s="97"/>
      <c r="J58" s="97"/>
      <c r="K58" s="97"/>
      <c r="L58" s="131"/>
      <c r="M58" s="97"/>
      <c r="N58" s="97"/>
      <c r="O58" s="97"/>
      <c r="P58" s="40"/>
    </row>
    <row r="59" ht="15.75" customHeight="1">
      <c r="A59" s="40"/>
      <c r="B59" s="96"/>
      <c r="C59" s="96"/>
      <c r="D59" s="96"/>
      <c r="E59" s="96"/>
      <c r="F59" s="96"/>
      <c r="G59" s="96"/>
      <c r="H59" s="96"/>
      <c r="I59" s="97"/>
      <c r="J59" s="97"/>
      <c r="K59" s="97"/>
      <c r="L59" s="131"/>
      <c r="M59" s="97"/>
      <c r="N59" s="97"/>
      <c r="O59" s="97"/>
      <c r="P59" s="40"/>
    </row>
  </sheetData>
  <mergeCells count="71">
    <mergeCell ref="B40:J40"/>
    <mergeCell ref="B41:J41"/>
    <mergeCell ref="B42:J42"/>
    <mergeCell ref="B43:J43"/>
    <mergeCell ref="B44:J44"/>
    <mergeCell ref="B45:J45"/>
    <mergeCell ref="B46:J46"/>
    <mergeCell ref="J52:K52"/>
    <mergeCell ref="M52:O52"/>
    <mergeCell ref="M53:O53"/>
    <mergeCell ref="I55:J55"/>
    <mergeCell ref="I56:J56"/>
    <mergeCell ref="B47:J47"/>
    <mergeCell ref="B48:J48"/>
    <mergeCell ref="B49:J49"/>
    <mergeCell ref="J51:K51"/>
    <mergeCell ref="B52:B53"/>
    <mergeCell ref="C52:E52"/>
    <mergeCell ref="F52:H52"/>
    <mergeCell ref="J53:K53"/>
    <mergeCell ref="C1:H1"/>
    <mergeCell ref="I1:O1"/>
    <mergeCell ref="C2:E2"/>
    <mergeCell ref="F2:H2"/>
    <mergeCell ref="I2:J2"/>
    <mergeCell ref="K2:O2"/>
    <mergeCell ref="C3:E3"/>
    <mergeCell ref="K3:O3"/>
    <mergeCell ref="F3:H3"/>
    <mergeCell ref="I3:J3"/>
    <mergeCell ref="C4:E4"/>
    <mergeCell ref="F4:H4"/>
    <mergeCell ref="I4:J4"/>
    <mergeCell ref="K4:O4"/>
    <mergeCell ref="C5:E6"/>
    <mergeCell ref="K5:O6"/>
    <mergeCell ref="F5:H6"/>
    <mergeCell ref="I5:J6"/>
    <mergeCell ref="B7:J7"/>
    <mergeCell ref="B8:J8"/>
    <mergeCell ref="B9:J9"/>
    <mergeCell ref="B10:J10"/>
    <mergeCell ref="B11:J11"/>
    <mergeCell ref="B12:J12"/>
    <mergeCell ref="B13:J13"/>
    <mergeCell ref="B14:J14"/>
    <mergeCell ref="B15:J15"/>
    <mergeCell ref="B16:J16"/>
    <mergeCell ref="B17:J17"/>
    <mergeCell ref="B18:J18"/>
    <mergeCell ref="B19:J19"/>
    <mergeCell ref="B20:J20"/>
    <mergeCell ref="B21:J21"/>
    <mergeCell ref="B22:J22"/>
    <mergeCell ref="B23:J23"/>
    <mergeCell ref="B24:J24"/>
    <mergeCell ref="B25:J25"/>
    <mergeCell ref="B26:J26"/>
    <mergeCell ref="B27:J27"/>
    <mergeCell ref="B28:J28"/>
    <mergeCell ref="B29:J29"/>
    <mergeCell ref="B30:J30"/>
    <mergeCell ref="B31:J31"/>
    <mergeCell ref="B32:J32"/>
    <mergeCell ref="B33:J33"/>
    <mergeCell ref="B34:J34"/>
    <mergeCell ref="B35:J35"/>
    <mergeCell ref="B36:J36"/>
    <mergeCell ref="B37:J37"/>
    <mergeCell ref="B38:J38"/>
    <mergeCell ref="B39:J39"/>
  </mergeCells>
  <dataValidations>
    <dataValidation type="custom" allowBlank="1" showDropDown="1" showInputMessage="1" showErrorMessage="1" prompt="Enter a number" sqref="K8:K48 O8:O49">
      <formula1>ISNUMBER(K8)</formula1>
    </dataValidation>
    <dataValidation type="list" allowBlank="1" showInputMessage="1" showErrorMessage="1" prompt="Click and enter a valid scale from the list of items. The valid scales are Letter, 0-100, 0-4, and None" sqref="B3">
      <formula1>"Letter,0-4,0-100,None"</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8.88"/>
    <col customWidth="1" min="3" max="8" width="6.38"/>
    <col customWidth="1" hidden="1" min="9" max="9" width="18.88"/>
    <col customWidth="1" min="10" max="10" width="18.88"/>
    <col customWidth="1" min="11" max="11" width="6.38"/>
    <col customWidth="1" hidden="1" min="12" max="12" width="18.88"/>
    <col customWidth="1" min="13" max="13" width="6.38"/>
    <col customWidth="1" hidden="1" min="14" max="14" width="6.38"/>
    <col customWidth="1" min="15" max="15" width="6.38"/>
  </cols>
  <sheetData>
    <row r="1" ht="31.5" customHeight="1">
      <c r="A1" s="58"/>
      <c r="B1" s="1"/>
      <c r="C1" s="71" t="s">
        <v>5</v>
      </c>
      <c r="I1" s="58" t="s">
        <v>6</v>
      </c>
      <c r="P1" s="72"/>
    </row>
    <row r="2" ht="15.75" customHeight="1">
      <c r="A2" s="73"/>
      <c r="B2" s="74" t="s">
        <v>50</v>
      </c>
      <c r="C2" s="59" t="s">
        <v>8</v>
      </c>
      <c r="F2" s="60" t="str">
        <f>'Getting Started'!$G$10</f>
        <v/>
      </c>
      <c r="I2" s="59" t="s">
        <v>9</v>
      </c>
      <c r="K2" s="60" t="str">
        <f>'Getting Started'!$I$10</f>
        <v/>
      </c>
      <c r="P2" s="40"/>
    </row>
    <row r="3" ht="15.75" customHeight="1">
      <c r="A3" s="73"/>
      <c r="B3" s="75" t="s">
        <v>51</v>
      </c>
      <c r="C3" s="59" t="s">
        <v>11</v>
      </c>
      <c r="F3" s="61" t="str">
        <f>'Getting Started'!$G$11</f>
        <v/>
      </c>
      <c r="I3" s="59" t="s">
        <v>12</v>
      </c>
      <c r="K3" s="60" t="str">
        <f>'Getting Started'!$I$11</f>
        <v/>
      </c>
      <c r="P3" s="40"/>
    </row>
    <row r="4" ht="31.5" customHeight="1">
      <c r="A4" s="73"/>
      <c r="B4" s="1"/>
      <c r="C4" s="59" t="s">
        <v>13</v>
      </c>
      <c r="F4" s="60" t="str">
        <f>'Getting Started'!$G$12</f>
        <v/>
      </c>
      <c r="I4" s="59" t="s">
        <v>14</v>
      </c>
      <c r="K4" s="60" t="str">
        <f>'Getting Started'!$I$12</f>
        <v/>
      </c>
      <c r="P4" s="40"/>
    </row>
    <row r="5" ht="15.75" customHeight="1">
      <c r="A5" s="73"/>
      <c r="B5" s="1"/>
      <c r="C5" s="59" t="s">
        <v>15</v>
      </c>
      <c r="F5" s="62" t="str">
        <f>'Getting Started'!$G$14</f>
        <v/>
      </c>
      <c r="I5" s="59" t="s">
        <v>16</v>
      </c>
      <c r="K5" s="60" t="str">
        <f>'Getting Started'!$I$14</f>
        <v/>
      </c>
      <c r="P5" s="40"/>
    </row>
    <row r="6" ht="15.75" customHeight="1">
      <c r="A6" s="73"/>
      <c r="B6" s="19" t="s">
        <v>52</v>
      </c>
      <c r="P6" s="40"/>
    </row>
    <row r="7" ht="31.5" customHeight="1">
      <c r="A7" s="40"/>
      <c r="B7" s="76" t="s">
        <v>53</v>
      </c>
      <c r="C7" s="8"/>
      <c r="D7" s="8"/>
      <c r="E7" s="8"/>
      <c r="F7" s="8"/>
      <c r="G7" s="8"/>
      <c r="H7" s="8"/>
      <c r="I7" s="8"/>
      <c r="J7" s="77"/>
      <c r="K7" s="78" t="s">
        <v>54</v>
      </c>
      <c r="L7" s="79" t="s">
        <v>55</v>
      </c>
      <c r="M7" s="80" t="s">
        <v>56</v>
      </c>
      <c r="N7" s="81"/>
      <c r="O7" s="82" t="s">
        <v>57</v>
      </c>
      <c r="P7" s="1"/>
    </row>
    <row r="8" ht="15.75" customHeight="1">
      <c r="A8" s="40"/>
      <c r="B8" s="83"/>
      <c r="J8" s="47"/>
      <c r="K8" s="84"/>
      <c r="L8" s="85" t="b">
        <v>0</v>
      </c>
      <c r="M8" s="86"/>
      <c r="N8" s="87"/>
      <c r="O8" s="88"/>
      <c r="P8" s="1"/>
    </row>
    <row r="9" ht="15.75" customHeight="1">
      <c r="A9" s="40"/>
      <c r="B9" s="83"/>
      <c r="J9" s="47"/>
      <c r="K9" s="84"/>
      <c r="L9" s="85" t="b">
        <v>0</v>
      </c>
      <c r="M9" s="86"/>
      <c r="N9" s="87"/>
      <c r="O9" s="88"/>
      <c r="P9" s="1"/>
    </row>
    <row r="10" ht="15.75" customHeight="1">
      <c r="A10" s="40"/>
      <c r="B10" s="83"/>
      <c r="J10" s="47"/>
      <c r="K10" s="84"/>
      <c r="L10" s="85" t="b">
        <v>0</v>
      </c>
      <c r="M10" s="86"/>
      <c r="N10" s="87"/>
      <c r="O10" s="88"/>
      <c r="P10" s="1"/>
    </row>
    <row r="11" ht="15.75" customHeight="1">
      <c r="A11" s="40"/>
      <c r="B11" s="83"/>
      <c r="J11" s="47"/>
      <c r="K11" s="84"/>
      <c r="L11" s="85" t="b">
        <v>0</v>
      </c>
      <c r="M11" s="86"/>
      <c r="N11" s="87"/>
      <c r="O11" s="88"/>
      <c r="P11" s="1"/>
    </row>
    <row r="12" ht="15.75" customHeight="1">
      <c r="A12" s="40"/>
      <c r="B12" s="83"/>
      <c r="J12" s="47"/>
      <c r="K12" s="84"/>
      <c r="L12" s="85" t="b">
        <v>0</v>
      </c>
      <c r="M12" s="86"/>
      <c r="N12" s="87"/>
      <c r="O12" s="88"/>
      <c r="P12" s="1"/>
    </row>
    <row r="13" ht="15.75" customHeight="1">
      <c r="A13" s="40"/>
      <c r="B13" s="83"/>
      <c r="J13" s="47"/>
      <c r="K13" s="84"/>
      <c r="L13" s="85" t="b">
        <v>0</v>
      </c>
      <c r="M13" s="86"/>
      <c r="N13" s="87"/>
      <c r="O13" s="88"/>
      <c r="P13" s="1"/>
    </row>
    <row r="14" ht="15.75" customHeight="1">
      <c r="A14" s="40"/>
      <c r="B14" s="83"/>
      <c r="J14" s="47"/>
      <c r="K14" s="84"/>
      <c r="L14" s="85" t="b">
        <v>0</v>
      </c>
      <c r="M14" s="86"/>
      <c r="N14" s="87"/>
      <c r="O14" s="88"/>
      <c r="P14" s="1"/>
    </row>
    <row r="15" ht="15.75" customHeight="1">
      <c r="A15" s="40"/>
      <c r="B15" s="83"/>
      <c r="J15" s="47"/>
      <c r="K15" s="84"/>
      <c r="L15" s="85" t="b">
        <v>0</v>
      </c>
      <c r="M15" s="86"/>
      <c r="N15" s="87"/>
      <c r="O15" s="88"/>
      <c r="P15" s="1"/>
    </row>
    <row r="16" ht="15.75" customHeight="1">
      <c r="A16" s="40"/>
      <c r="B16" s="83"/>
      <c r="J16" s="47"/>
      <c r="K16" s="84"/>
      <c r="L16" s="85" t="b">
        <v>0</v>
      </c>
      <c r="M16" s="86"/>
      <c r="N16" s="87"/>
      <c r="O16" s="88"/>
      <c r="P16" s="1"/>
    </row>
    <row r="17" ht="15.75" customHeight="1">
      <c r="A17" s="40"/>
      <c r="B17" s="83"/>
      <c r="J17" s="47"/>
      <c r="K17" s="84"/>
      <c r="L17" s="85" t="b">
        <v>0</v>
      </c>
      <c r="M17" s="86"/>
      <c r="N17" s="87"/>
      <c r="O17" s="88"/>
      <c r="P17" s="1"/>
    </row>
    <row r="18" ht="15.75" customHeight="1">
      <c r="A18" s="40"/>
      <c r="B18" s="83"/>
      <c r="J18" s="47"/>
      <c r="K18" s="84"/>
      <c r="L18" s="85" t="b">
        <v>0</v>
      </c>
      <c r="M18" s="86"/>
      <c r="N18" s="87"/>
      <c r="O18" s="88"/>
      <c r="P18" s="1"/>
    </row>
    <row r="19" ht="15.75" customHeight="1">
      <c r="A19" s="40"/>
      <c r="B19" s="83"/>
      <c r="J19" s="47"/>
      <c r="K19" s="84"/>
      <c r="L19" s="85" t="b">
        <v>0</v>
      </c>
      <c r="M19" s="86"/>
      <c r="N19" s="87"/>
      <c r="O19" s="88"/>
      <c r="P19" s="1"/>
    </row>
    <row r="20" ht="15.75" customHeight="1">
      <c r="A20" s="40"/>
      <c r="B20" s="83"/>
      <c r="J20" s="47"/>
      <c r="K20" s="84"/>
      <c r="L20" s="85" t="b">
        <v>0</v>
      </c>
      <c r="M20" s="86"/>
      <c r="N20" s="87"/>
      <c r="O20" s="88"/>
      <c r="P20" s="1"/>
    </row>
    <row r="21" ht="15.75" customHeight="1">
      <c r="A21" s="40"/>
      <c r="B21" s="83"/>
      <c r="J21" s="47"/>
      <c r="K21" s="84"/>
      <c r="L21" s="85" t="b">
        <v>0</v>
      </c>
      <c r="M21" s="86"/>
      <c r="N21" s="87"/>
      <c r="O21" s="88"/>
      <c r="P21" s="1"/>
    </row>
    <row r="22" ht="15.75" customHeight="1">
      <c r="A22" s="40"/>
      <c r="B22" s="83"/>
      <c r="J22" s="47"/>
      <c r="K22" s="84"/>
      <c r="L22" s="85" t="b">
        <v>0</v>
      </c>
      <c r="M22" s="86"/>
      <c r="N22" s="87"/>
      <c r="O22" s="88"/>
      <c r="P22" s="1"/>
    </row>
    <row r="23" ht="15.75" customHeight="1">
      <c r="A23" s="40"/>
      <c r="B23" s="83"/>
      <c r="J23" s="47"/>
      <c r="K23" s="84"/>
      <c r="L23" s="85" t="b">
        <v>0</v>
      </c>
      <c r="M23" s="86"/>
      <c r="N23" s="87"/>
      <c r="O23" s="88"/>
      <c r="P23" s="1"/>
    </row>
    <row r="24" ht="15.75" customHeight="1">
      <c r="A24" s="40"/>
      <c r="B24" s="83"/>
      <c r="J24" s="47"/>
      <c r="K24" s="84"/>
      <c r="L24" s="85" t="b">
        <v>0</v>
      </c>
      <c r="M24" s="86"/>
      <c r="N24" s="87"/>
      <c r="O24" s="88"/>
      <c r="P24" s="1"/>
    </row>
    <row r="25" ht="15.75" customHeight="1">
      <c r="A25" s="40"/>
      <c r="B25" s="83"/>
      <c r="J25" s="47"/>
      <c r="K25" s="84"/>
      <c r="L25" s="85" t="b">
        <v>0</v>
      </c>
      <c r="M25" s="86"/>
      <c r="N25" s="87"/>
      <c r="O25" s="88"/>
      <c r="P25" s="1"/>
    </row>
    <row r="26" ht="15.75" customHeight="1">
      <c r="A26" s="40"/>
      <c r="B26" s="83"/>
      <c r="J26" s="47"/>
      <c r="K26" s="84"/>
      <c r="L26" s="85" t="b">
        <v>0</v>
      </c>
      <c r="M26" s="86"/>
      <c r="N26" s="87"/>
      <c r="O26" s="88"/>
      <c r="P26" s="1"/>
    </row>
    <row r="27" ht="15.75" customHeight="1">
      <c r="A27" s="40"/>
      <c r="B27" s="83"/>
      <c r="J27" s="47"/>
      <c r="K27" s="84"/>
      <c r="L27" s="85" t="b">
        <v>0</v>
      </c>
      <c r="M27" s="86"/>
      <c r="N27" s="87"/>
      <c r="O27" s="88"/>
      <c r="P27" s="1"/>
    </row>
    <row r="28" ht="15.75" customHeight="1">
      <c r="A28" s="40"/>
      <c r="B28" s="83"/>
      <c r="J28" s="47"/>
      <c r="K28" s="84"/>
      <c r="L28" s="85" t="b">
        <v>0</v>
      </c>
      <c r="M28" s="86"/>
      <c r="N28" s="87"/>
      <c r="O28" s="88"/>
      <c r="P28" s="1"/>
    </row>
    <row r="29" ht="15.75" customHeight="1">
      <c r="A29" s="40"/>
      <c r="B29" s="83"/>
      <c r="J29" s="47"/>
      <c r="K29" s="84"/>
      <c r="L29" s="85" t="b">
        <v>0</v>
      </c>
      <c r="M29" s="86"/>
      <c r="N29" s="87"/>
      <c r="O29" s="88"/>
      <c r="P29" s="1"/>
    </row>
    <row r="30" ht="15.75" customHeight="1">
      <c r="A30" s="40"/>
      <c r="B30" s="83"/>
      <c r="J30" s="47"/>
      <c r="K30" s="84"/>
      <c r="L30" s="85" t="b">
        <v>0</v>
      </c>
      <c r="M30" s="86"/>
      <c r="N30" s="87"/>
      <c r="O30" s="88"/>
      <c r="P30" s="1"/>
    </row>
    <row r="31" ht="15.75" customHeight="1">
      <c r="A31" s="40"/>
      <c r="B31" s="83"/>
      <c r="J31" s="47"/>
      <c r="K31" s="84"/>
      <c r="L31" s="85" t="b">
        <v>0</v>
      </c>
      <c r="M31" s="86"/>
      <c r="N31" s="87"/>
      <c r="O31" s="88"/>
      <c r="P31" s="1"/>
    </row>
    <row r="32" ht="15.75" customHeight="1">
      <c r="A32" s="40"/>
      <c r="B32" s="83"/>
      <c r="J32" s="47"/>
      <c r="K32" s="84"/>
      <c r="L32" s="85" t="b">
        <v>0</v>
      </c>
      <c r="M32" s="86"/>
      <c r="N32" s="87"/>
      <c r="O32" s="88"/>
      <c r="P32" s="1"/>
    </row>
    <row r="33" ht="15.75" customHeight="1">
      <c r="A33" s="40"/>
      <c r="B33" s="83"/>
      <c r="J33" s="47"/>
      <c r="K33" s="84"/>
      <c r="L33" s="85" t="b">
        <v>0</v>
      </c>
      <c r="M33" s="86"/>
      <c r="N33" s="87"/>
      <c r="O33" s="88"/>
      <c r="P33" s="1"/>
    </row>
    <row r="34" ht="15.75" customHeight="1">
      <c r="A34" s="40"/>
      <c r="B34" s="83"/>
      <c r="J34" s="47"/>
      <c r="K34" s="84"/>
      <c r="L34" s="85" t="b">
        <v>0</v>
      </c>
      <c r="M34" s="86"/>
      <c r="N34" s="87"/>
      <c r="O34" s="88"/>
      <c r="P34" s="1"/>
    </row>
    <row r="35" ht="15.75" customHeight="1">
      <c r="A35" s="40"/>
      <c r="B35" s="83"/>
      <c r="J35" s="47"/>
      <c r="K35" s="84"/>
      <c r="L35" s="85" t="b">
        <v>0</v>
      </c>
      <c r="M35" s="86"/>
      <c r="N35" s="87"/>
      <c r="O35" s="88"/>
      <c r="P35" s="1"/>
    </row>
    <row r="36" ht="15.75" customHeight="1">
      <c r="A36" s="40"/>
      <c r="B36" s="83"/>
      <c r="J36" s="47"/>
      <c r="K36" s="84"/>
      <c r="L36" s="85" t="b">
        <v>0</v>
      </c>
      <c r="M36" s="86"/>
      <c r="N36" s="87"/>
      <c r="O36" s="88"/>
      <c r="P36" s="1"/>
    </row>
    <row r="37" ht="15.75" customHeight="1">
      <c r="A37" s="40"/>
      <c r="B37" s="83"/>
      <c r="J37" s="47"/>
      <c r="K37" s="84"/>
      <c r="L37" s="85" t="b">
        <v>0</v>
      </c>
      <c r="M37" s="86"/>
      <c r="N37" s="87"/>
      <c r="O37" s="88"/>
      <c r="P37" s="1"/>
    </row>
    <row r="38" ht="15.75" customHeight="1">
      <c r="A38" s="40"/>
      <c r="B38" s="83"/>
      <c r="J38" s="47"/>
      <c r="K38" s="84"/>
      <c r="L38" s="85" t="b">
        <v>0</v>
      </c>
      <c r="M38" s="86"/>
      <c r="N38" s="87"/>
      <c r="O38" s="88"/>
      <c r="P38" s="1"/>
    </row>
    <row r="39" ht="15.75" customHeight="1">
      <c r="A39" s="40"/>
      <c r="B39" s="83"/>
      <c r="J39" s="47"/>
      <c r="K39" s="84"/>
      <c r="L39" s="85" t="b">
        <v>0</v>
      </c>
      <c r="M39" s="86"/>
      <c r="N39" s="87"/>
      <c r="O39" s="88"/>
      <c r="P39" s="1"/>
    </row>
    <row r="40" ht="15.75" customHeight="1">
      <c r="A40" s="40"/>
      <c r="B40" s="83"/>
      <c r="J40" s="47"/>
      <c r="K40" s="84"/>
      <c r="L40" s="85" t="b">
        <v>0</v>
      </c>
      <c r="M40" s="86"/>
      <c r="N40" s="87"/>
      <c r="O40" s="88"/>
      <c r="P40" s="1"/>
    </row>
    <row r="41" ht="15.75" customHeight="1">
      <c r="A41" s="40"/>
      <c r="B41" s="83"/>
      <c r="J41" s="47"/>
      <c r="K41" s="84"/>
      <c r="L41" s="85" t="b">
        <v>0</v>
      </c>
      <c r="M41" s="86"/>
      <c r="N41" s="87"/>
      <c r="O41" s="88"/>
      <c r="P41" s="1"/>
    </row>
    <row r="42" ht="15.75" customHeight="1">
      <c r="A42" s="40"/>
      <c r="B42" s="83"/>
      <c r="J42" s="47"/>
      <c r="K42" s="84"/>
      <c r="L42" s="85" t="b">
        <v>0</v>
      </c>
      <c r="M42" s="86"/>
      <c r="N42" s="87"/>
      <c r="O42" s="88"/>
      <c r="P42" s="1"/>
    </row>
    <row r="43" ht="15.75" customHeight="1">
      <c r="A43" s="40"/>
      <c r="B43" s="83"/>
      <c r="J43" s="47"/>
      <c r="K43" s="84"/>
      <c r="L43" s="85" t="b">
        <v>0</v>
      </c>
      <c r="M43" s="86"/>
      <c r="N43" s="87"/>
      <c r="O43" s="88"/>
      <c r="P43" s="1"/>
    </row>
    <row r="44" ht="15.75" customHeight="1">
      <c r="A44" s="40"/>
      <c r="B44" s="83"/>
      <c r="J44" s="47"/>
      <c r="K44" s="84"/>
      <c r="L44" s="85" t="b">
        <v>0</v>
      </c>
      <c r="M44" s="86"/>
      <c r="N44" s="87"/>
      <c r="O44" s="88"/>
      <c r="P44" s="1"/>
    </row>
    <row r="45" ht="15.75" customHeight="1">
      <c r="A45" s="40"/>
      <c r="B45" s="83"/>
      <c r="J45" s="47"/>
      <c r="K45" s="84"/>
      <c r="L45" s="85" t="b">
        <v>0</v>
      </c>
      <c r="M45" s="86"/>
      <c r="N45" s="87"/>
      <c r="O45" s="88"/>
      <c r="P45" s="1"/>
    </row>
    <row r="46" ht="15.75" customHeight="1">
      <c r="A46" s="40"/>
      <c r="B46" s="83"/>
      <c r="J46" s="47"/>
      <c r="K46" s="84"/>
      <c r="L46" s="85" t="b">
        <v>0</v>
      </c>
      <c r="M46" s="86"/>
      <c r="N46" s="87"/>
      <c r="O46" s="88"/>
      <c r="P46" s="1"/>
    </row>
    <row r="47" ht="15.75" customHeight="1">
      <c r="A47" s="40"/>
      <c r="B47" s="83"/>
      <c r="J47" s="47"/>
      <c r="K47" s="84"/>
      <c r="L47" s="85" t="b">
        <v>0</v>
      </c>
      <c r="M47" s="86"/>
      <c r="N47" s="87"/>
      <c r="O47" s="88"/>
      <c r="P47" s="1"/>
    </row>
    <row r="48" ht="15.75" customHeight="1">
      <c r="A48" s="40"/>
      <c r="B48" s="83"/>
      <c r="J48" s="47"/>
      <c r="K48" s="84"/>
      <c r="L48" s="85" t="b">
        <v>0</v>
      </c>
      <c r="M48" s="86"/>
      <c r="N48" s="87"/>
      <c r="O48" s="88"/>
      <c r="P48" s="1"/>
    </row>
    <row r="49" ht="15.75" customHeight="1">
      <c r="A49" s="40"/>
      <c r="B49" s="89"/>
      <c r="C49" s="16"/>
      <c r="D49" s="16"/>
      <c r="E49" s="16"/>
      <c r="F49" s="16"/>
      <c r="G49" s="16"/>
      <c r="H49" s="16"/>
      <c r="I49" s="16"/>
      <c r="J49" s="90"/>
      <c r="K49" s="91"/>
      <c r="L49" s="92" t="b">
        <v>0</v>
      </c>
      <c r="M49" s="93"/>
      <c r="N49" s="94"/>
      <c r="O49" s="95"/>
      <c r="P49" s="40"/>
    </row>
    <row r="50" ht="15.75" customHeight="1">
      <c r="A50" s="40"/>
      <c r="B50" s="96"/>
      <c r="C50" s="96"/>
      <c r="D50" s="96"/>
      <c r="E50" s="96"/>
      <c r="F50" s="96"/>
      <c r="G50" s="96"/>
      <c r="H50" s="96"/>
      <c r="I50" s="1"/>
      <c r="J50" s="1"/>
      <c r="K50" s="1"/>
      <c r="L50" s="1"/>
      <c r="M50" s="1"/>
      <c r="N50" s="97"/>
      <c r="O50" s="97"/>
      <c r="P50" s="40"/>
    </row>
    <row r="51" ht="15.75" customHeight="1">
      <c r="A51" s="40"/>
      <c r="B51" s="98" t="s">
        <v>58</v>
      </c>
      <c r="C51" s="99"/>
      <c r="D51" s="99"/>
      <c r="E51" s="99"/>
      <c r="F51" s="99"/>
      <c r="G51" s="99"/>
      <c r="H51" s="99"/>
      <c r="I51" s="100"/>
      <c r="J51" s="101" t="s">
        <v>59</v>
      </c>
      <c r="K51" s="102"/>
      <c r="L51" s="1"/>
      <c r="M51" s="1"/>
      <c r="N51" s="97"/>
      <c r="O51" s="97"/>
      <c r="P51" s="40"/>
    </row>
    <row r="52" ht="15.75" customHeight="1">
      <c r="A52" s="40"/>
      <c r="B52" s="103" t="s">
        <v>60</v>
      </c>
      <c r="C52" s="104" t="s">
        <v>61</v>
      </c>
      <c r="D52" s="105"/>
      <c r="E52" s="106"/>
      <c r="F52" s="104" t="s">
        <v>62</v>
      </c>
      <c r="G52" s="105"/>
      <c r="H52" s="107"/>
      <c r="I52" s="100"/>
      <c r="J52" s="108" t="s">
        <v>63</v>
      </c>
      <c r="K52" s="109"/>
      <c r="L52" s="110"/>
      <c r="M52" s="111" t="s">
        <v>64</v>
      </c>
      <c r="N52" s="109"/>
      <c r="O52" s="102"/>
      <c r="P52" s="40"/>
    </row>
    <row r="53" ht="15.75" customHeight="1">
      <c r="A53" s="40"/>
      <c r="B53" s="112"/>
      <c r="C53" s="113" t="s">
        <v>65</v>
      </c>
      <c r="D53" s="114" t="s">
        <v>66</v>
      </c>
      <c r="E53" s="115" t="s">
        <v>67</v>
      </c>
      <c r="F53" s="113" t="s">
        <v>65</v>
      </c>
      <c r="G53" s="114" t="s">
        <v>66</v>
      </c>
      <c r="H53" s="116" t="s">
        <v>67</v>
      </c>
      <c r="I53" s="110"/>
      <c r="J53" s="117" t="str">
        <f t="array" ref="J53">GPA({$K$8:$K$49,$M$8:$M$49,$O$8:$O$49},1,2)</f>
        <v>Loading...</v>
      </c>
      <c r="K53" s="118"/>
      <c r="L53" s="110"/>
      <c r="M53" s="119" t="str">
        <f t="array" ref="M53">CREDITSSUM({$K$8:$K$49,$M$8:$M$49},1,2)</f>
        <v>Loading...</v>
      </c>
      <c r="N53" s="118"/>
      <c r="O53" s="120"/>
      <c r="P53" s="40"/>
    </row>
    <row r="54" ht="15.75" customHeight="1">
      <c r="A54" s="40"/>
      <c r="B54" s="132" t="s">
        <v>68</v>
      </c>
      <c r="C54" s="122"/>
      <c r="D54" s="84"/>
      <c r="E54" s="123"/>
      <c r="F54" s="86"/>
      <c r="G54" s="84"/>
      <c r="H54" s="124"/>
      <c r="I54" s="110"/>
      <c r="J54" s="1"/>
      <c r="K54" s="1"/>
      <c r="L54" s="1"/>
      <c r="M54" s="1"/>
      <c r="N54" s="1"/>
      <c r="O54" s="1"/>
      <c r="P54" s="40"/>
    </row>
    <row r="55" ht="15.75" customHeight="1">
      <c r="A55" s="73"/>
      <c r="B55" s="132" t="s">
        <v>69</v>
      </c>
      <c r="C55" s="122"/>
      <c r="D55" s="84"/>
      <c r="E55" s="123"/>
      <c r="F55" s="86"/>
      <c r="G55" s="84"/>
      <c r="H55" s="124"/>
      <c r="I55" s="59"/>
      <c r="K55" s="60"/>
      <c r="L55" s="60"/>
      <c r="M55" s="60"/>
      <c r="N55" s="60"/>
      <c r="O55" s="60"/>
      <c r="P55" s="40"/>
    </row>
    <row r="56" ht="15.75" customHeight="1">
      <c r="A56" s="73"/>
      <c r="B56" s="121" t="s">
        <v>70</v>
      </c>
      <c r="C56" s="122"/>
      <c r="D56" s="84"/>
      <c r="E56" s="123"/>
      <c r="F56" s="86"/>
      <c r="G56" s="84"/>
      <c r="H56" s="124"/>
      <c r="I56" s="59"/>
      <c r="K56" s="60"/>
      <c r="L56" s="60"/>
      <c r="M56" s="60"/>
      <c r="N56" s="60"/>
      <c r="O56" s="60"/>
      <c r="P56" s="40"/>
    </row>
    <row r="57" ht="15.75" customHeight="1">
      <c r="A57" s="73"/>
      <c r="B57" s="125" t="s">
        <v>71</v>
      </c>
      <c r="C57" s="126"/>
      <c r="D57" s="127"/>
      <c r="E57" s="128"/>
      <c r="F57" s="129"/>
      <c r="G57" s="127"/>
      <c r="H57" s="130"/>
      <c r="I57" s="59"/>
      <c r="J57" s="59"/>
      <c r="K57" s="60"/>
      <c r="L57" s="60"/>
      <c r="M57" s="60"/>
      <c r="N57" s="60"/>
      <c r="O57" s="60"/>
      <c r="P57" s="40"/>
    </row>
    <row r="58" ht="15.75" customHeight="1">
      <c r="A58" s="40"/>
      <c r="B58" s="96"/>
      <c r="C58" s="96"/>
      <c r="D58" s="96"/>
      <c r="E58" s="96"/>
      <c r="F58" s="96"/>
      <c r="G58" s="96"/>
      <c r="H58" s="96"/>
      <c r="I58" s="97"/>
      <c r="J58" s="97"/>
      <c r="K58" s="97"/>
      <c r="L58" s="131"/>
      <c r="M58" s="97"/>
      <c r="N58" s="97"/>
      <c r="O58" s="97"/>
      <c r="P58" s="40"/>
    </row>
    <row r="59" ht="15.75" customHeight="1">
      <c r="A59" s="40"/>
      <c r="B59" s="96"/>
      <c r="C59" s="96"/>
      <c r="D59" s="96"/>
      <c r="E59" s="96"/>
      <c r="F59" s="96"/>
      <c r="G59" s="96"/>
      <c r="H59" s="96"/>
      <c r="I59" s="97"/>
      <c r="J59" s="97"/>
      <c r="K59" s="97"/>
      <c r="L59" s="131"/>
      <c r="M59" s="97"/>
      <c r="N59" s="97"/>
      <c r="O59" s="97"/>
      <c r="P59" s="40"/>
    </row>
  </sheetData>
  <mergeCells count="71">
    <mergeCell ref="B40:J40"/>
    <mergeCell ref="B41:J41"/>
    <mergeCell ref="B42:J42"/>
    <mergeCell ref="B43:J43"/>
    <mergeCell ref="B44:J44"/>
    <mergeCell ref="B45:J45"/>
    <mergeCell ref="B46:J46"/>
    <mergeCell ref="J52:K52"/>
    <mergeCell ref="M52:O52"/>
    <mergeCell ref="M53:O53"/>
    <mergeCell ref="I55:J55"/>
    <mergeCell ref="I56:J56"/>
    <mergeCell ref="B47:J47"/>
    <mergeCell ref="B48:J48"/>
    <mergeCell ref="B49:J49"/>
    <mergeCell ref="J51:K51"/>
    <mergeCell ref="B52:B53"/>
    <mergeCell ref="C52:E52"/>
    <mergeCell ref="F52:H52"/>
    <mergeCell ref="J53:K53"/>
    <mergeCell ref="C1:H1"/>
    <mergeCell ref="I1:O1"/>
    <mergeCell ref="C2:E2"/>
    <mergeCell ref="F2:H2"/>
    <mergeCell ref="I2:J2"/>
    <mergeCell ref="K2:O2"/>
    <mergeCell ref="C3:E3"/>
    <mergeCell ref="K3:O3"/>
    <mergeCell ref="F3:H3"/>
    <mergeCell ref="I3:J3"/>
    <mergeCell ref="C4:E4"/>
    <mergeCell ref="F4:H4"/>
    <mergeCell ref="I4:J4"/>
    <mergeCell ref="K4:O4"/>
    <mergeCell ref="C5:E6"/>
    <mergeCell ref="K5:O6"/>
    <mergeCell ref="F5:H6"/>
    <mergeCell ref="I5:J6"/>
    <mergeCell ref="B7:J7"/>
    <mergeCell ref="B8:J8"/>
    <mergeCell ref="B9:J9"/>
    <mergeCell ref="B10:J10"/>
    <mergeCell ref="B11:J11"/>
    <mergeCell ref="B12:J12"/>
    <mergeCell ref="B13:J13"/>
    <mergeCell ref="B14:J14"/>
    <mergeCell ref="B15:J15"/>
    <mergeCell ref="B16:J16"/>
    <mergeCell ref="B17:J17"/>
    <mergeCell ref="B18:J18"/>
    <mergeCell ref="B19:J19"/>
    <mergeCell ref="B20:J20"/>
    <mergeCell ref="B21:J21"/>
    <mergeCell ref="B22:J22"/>
    <mergeCell ref="B23:J23"/>
    <mergeCell ref="B24:J24"/>
    <mergeCell ref="B25:J25"/>
    <mergeCell ref="B26:J26"/>
    <mergeCell ref="B27:J27"/>
    <mergeCell ref="B28:J28"/>
    <mergeCell ref="B29:J29"/>
    <mergeCell ref="B30:J30"/>
    <mergeCell ref="B31:J31"/>
    <mergeCell ref="B32:J32"/>
    <mergeCell ref="B33:J33"/>
    <mergeCell ref="B34:J34"/>
    <mergeCell ref="B35:J35"/>
    <mergeCell ref="B36:J36"/>
    <mergeCell ref="B37:J37"/>
    <mergeCell ref="B38:J38"/>
    <mergeCell ref="B39:J39"/>
  </mergeCells>
  <dataValidations>
    <dataValidation type="custom" allowBlank="1" showDropDown="1" showInputMessage="1" showErrorMessage="1" prompt="Enter a number" sqref="K8:K48 O8:O49">
      <formula1>ISNUMBER(K8)</formula1>
    </dataValidation>
    <dataValidation type="list" allowBlank="1" showInputMessage="1" showErrorMessage="1" prompt="Click and enter a valid scale from the list of items. The valid scales are Letter, 0-100, 0-4, and None" sqref="B3">
      <formula1>"Letter,0-4,0-100,None"</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8.88"/>
    <col customWidth="1" min="3" max="8" width="6.38"/>
    <col customWidth="1" hidden="1" min="9" max="9" width="18.88"/>
    <col customWidth="1" min="10" max="10" width="18.88"/>
    <col customWidth="1" min="11" max="11" width="6.38"/>
    <col customWidth="1" hidden="1" min="12" max="12" width="18.88"/>
    <col customWidth="1" min="13" max="13" width="6.38"/>
    <col customWidth="1" hidden="1" min="14" max="14" width="6.38"/>
    <col customWidth="1" min="15" max="15" width="6.38"/>
  </cols>
  <sheetData>
    <row r="1" ht="31.5" customHeight="1">
      <c r="A1" s="58"/>
      <c r="B1" s="1"/>
      <c r="C1" s="71" t="s">
        <v>5</v>
      </c>
      <c r="I1" s="58" t="s">
        <v>6</v>
      </c>
      <c r="P1" s="72"/>
    </row>
    <row r="2" ht="15.75" customHeight="1">
      <c r="A2" s="73"/>
      <c r="B2" s="74" t="s">
        <v>50</v>
      </c>
      <c r="C2" s="59" t="s">
        <v>8</v>
      </c>
      <c r="F2" s="60" t="str">
        <f>'Getting Started'!$G$10</f>
        <v/>
      </c>
      <c r="I2" s="59" t="s">
        <v>9</v>
      </c>
      <c r="K2" s="60" t="str">
        <f>'Getting Started'!$I$10</f>
        <v/>
      </c>
      <c r="P2" s="40"/>
    </row>
    <row r="3" ht="15.75" customHeight="1">
      <c r="A3" s="73"/>
      <c r="B3" s="75" t="s">
        <v>51</v>
      </c>
      <c r="C3" s="59" t="s">
        <v>11</v>
      </c>
      <c r="F3" s="61" t="str">
        <f>'Getting Started'!$G$11</f>
        <v/>
      </c>
      <c r="I3" s="59" t="s">
        <v>12</v>
      </c>
      <c r="K3" s="60" t="str">
        <f>'Getting Started'!$I$11</f>
        <v/>
      </c>
      <c r="P3" s="40"/>
    </row>
    <row r="4" ht="31.5" customHeight="1">
      <c r="A4" s="73"/>
      <c r="B4" s="1"/>
      <c r="C4" s="59" t="s">
        <v>13</v>
      </c>
      <c r="F4" s="60" t="str">
        <f>'Getting Started'!$G$12</f>
        <v/>
      </c>
      <c r="I4" s="59" t="s">
        <v>14</v>
      </c>
      <c r="K4" s="60" t="str">
        <f>'Getting Started'!$I$12</f>
        <v/>
      </c>
      <c r="P4" s="40"/>
    </row>
    <row r="5" ht="15.75" customHeight="1">
      <c r="A5" s="73"/>
      <c r="B5" s="1"/>
      <c r="C5" s="59" t="s">
        <v>15</v>
      </c>
      <c r="F5" s="62" t="str">
        <f>'Getting Started'!$G$14</f>
        <v/>
      </c>
      <c r="I5" s="59" t="s">
        <v>16</v>
      </c>
      <c r="K5" s="60" t="str">
        <f>'Getting Started'!$I$14</f>
        <v/>
      </c>
      <c r="P5" s="40"/>
    </row>
    <row r="6" ht="15.75" customHeight="1">
      <c r="A6" s="73"/>
      <c r="B6" s="19" t="s">
        <v>52</v>
      </c>
      <c r="P6" s="40"/>
    </row>
    <row r="7" ht="31.5" customHeight="1">
      <c r="A7" s="40"/>
      <c r="B7" s="76" t="s">
        <v>53</v>
      </c>
      <c r="C7" s="8"/>
      <c r="D7" s="8"/>
      <c r="E7" s="8"/>
      <c r="F7" s="8"/>
      <c r="G7" s="8"/>
      <c r="H7" s="8"/>
      <c r="I7" s="8"/>
      <c r="J7" s="77"/>
      <c r="K7" s="78" t="s">
        <v>54</v>
      </c>
      <c r="L7" s="79" t="s">
        <v>55</v>
      </c>
      <c r="M7" s="80" t="s">
        <v>56</v>
      </c>
      <c r="N7" s="81"/>
      <c r="O7" s="82" t="s">
        <v>57</v>
      </c>
      <c r="P7" s="1"/>
    </row>
    <row r="8" ht="15.75" customHeight="1">
      <c r="A8" s="40"/>
      <c r="B8" s="83"/>
      <c r="J8" s="47"/>
      <c r="K8" s="84"/>
      <c r="L8" s="85" t="b">
        <v>0</v>
      </c>
      <c r="M8" s="86"/>
      <c r="N8" s="87"/>
      <c r="O8" s="88"/>
      <c r="P8" s="1"/>
    </row>
    <row r="9" ht="15.75" customHeight="1">
      <c r="A9" s="40"/>
      <c r="B9" s="83"/>
      <c r="J9" s="47"/>
      <c r="K9" s="84"/>
      <c r="L9" s="85" t="b">
        <v>0</v>
      </c>
      <c r="M9" s="86"/>
      <c r="N9" s="87"/>
      <c r="O9" s="88"/>
      <c r="P9" s="1"/>
    </row>
    <row r="10" ht="15.75" customHeight="1">
      <c r="A10" s="40"/>
      <c r="B10" s="83"/>
      <c r="J10" s="47"/>
      <c r="K10" s="84"/>
      <c r="L10" s="85" t="b">
        <v>0</v>
      </c>
      <c r="M10" s="86"/>
      <c r="N10" s="87"/>
      <c r="O10" s="88"/>
      <c r="P10" s="1"/>
    </row>
    <row r="11" ht="15.75" customHeight="1">
      <c r="A11" s="40"/>
      <c r="B11" s="83"/>
      <c r="J11" s="47"/>
      <c r="K11" s="84"/>
      <c r="L11" s="85" t="b">
        <v>0</v>
      </c>
      <c r="M11" s="86"/>
      <c r="N11" s="87"/>
      <c r="O11" s="88"/>
      <c r="P11" s="1"/>
    </row>
    <row r="12" ht="15.75" customHeight="1">
      <c r="A12" s="40"/>
      <c r="B12" s="83"/>
      <c r="J12" s="47"/>
      <c r="K12" s="84"/>
      <c r="L12" s="85" t="b">
        <v>0</v>
      </c>
      <c r="M12" s="86"/>
      <c r="N12" s="87"/>
      <c r="O12" s="88"/>
      <c r="P12" s="1"/>
    </row>
    <row r="13" ht="15.75" customHeight="1">
      <c r="A13" s="40"/>
      <c r="B13" s="83"/>
      <c r="J13" s="47"/>
      <c r="K13" s="84"/>
      <c r="L13" s="85" t="b">
        <v>0</v>
      </c>
      <c r="M13" s="86"/>
      <c r="N13" s="87"/>
      <c r="O13" s="88"/>
      <c r="P13" s="1"/>
    </row>
    <row r="14" ht="15.75" customHeight="1">
      <c r="A14" s="40"/>
      <c r="B14" s="83"/>
      <c r="J14" s="47"/>
      <c r="K14" s="84"/>
      <c r="L14" s="85" t="b">
        <v>0</v>
      </c>
      <c r="M14" s="86"/>
      <c r="N14" s="87"/>
      <c r="O14" s="88"/>
      <c r="P14" s="1"/>
    </row>
    <row r="15" ht="15.75" customHeight="1">
      <c r="A15" s="40"/>
      <c r="B15" s="83"/>
      <c r="J15" s="47"/>
      <c r="K15" s="84"/>
      <c r="L15" s="85" t="b">
        <v>0</v>
      </c>
      <c r="M15" s="86"/>
      <c r="N15" s="87"/>
      <c r="O15" s="88"/>
      <c r="P15" s="1"/>
    </row>
    <row r="16" ht="15.75" customHeight="1">
      <c r="A16" s="40"/>
      <c r="B16" s="83"/>
      <c r="J16" s="47"/>
      <c r="K16" s="84"/>
      <c r="L16" s="85" t="b">
        <v>0</v>
      </c>
      <c r="M16" s="86"/>
      <c r="N16" s="87"/>
      <c r="O16" s="88"/>
      <c r="P16" s="1"/>
    </row>
    <row r="17" ht="15.75" customHeight="1">
      <c r="A17" s="40"/>
      <c r="B17" s="83"/>
      <c r="J17" s="47"/>
      <c r="K17" s="84"/>
      <c r="L17" s="85" t="b">
        <v>0</v>
      </c>
      <c r="M17" s="86"/>
      <c r="N17" s="87"/>
      <c r="O17" s="88"/>
      <c r="P17" s="1"/>
    </row>
    <row r="18" ht="15.75" customHeight="1">
      <c r="A18" s="40"/>
      <c r="B18" s="83"/>
      <c r="J18" s="47"/>
      <c r="K18" s="84"/>
      <c r="L18" s="85" t="b">
        <v>0</v>
      </c>
      <c r="M18" s="86"/>
      <c r="N18" s="87"/>
      <c r="O18" s="88"/>
      <c r="P18" s="1"/>
    </row>
    <row r="19" ht="15.75" customHeight="1">
      <c r="A19" s="40"/>
      <c r="B19" s="83"/>
      <c r="J19" s="47"/>
      <c r="K19" s="84"/>
      <c r="L19" s="85" t="b">
        <v>0</v>
      </c>
      <c r="M19" s="86"/>
      <c r="N19" s="87"/>
      <c r="O19" s="88"/>
      <c r="P19" s="1"/>
    </row>
    <row r="20" ht="15.75" customHeight="1">
      <c r="A20" s="40"/>
      <c r="B20" s="83"/>
      <c r="J20" s="47"/>
      <c r="K20" s="84"/>
      <c r="L20" s="85" t="b">
        <v>0</v>
      </c>
      <c r="M20" s="86"/>
      <c r="N20" s="87"/>
      <c r="O20" s="88"/>
      <c r="P20" s="1"/>
    </row>
    <row r="21" ht="15.75" customHeight="1">
      <c r="A21" s="40"/>
      <c r="B21" s="83"/>
      <c r="J21" s="47"/>
      <c r="K21" s="84"/>
      <c r="L21" s="85" t="b">
        <v>0</v>
      </c>
      <c r="M21" s="86"/>
      <c r="N21" s="87"/>
      <c r="O21" s="88"/>
      <c r="P21" s="1"/>
    </row>
    <row r="22" ht="15.75" customHeight="1">
      <c r="A22" s="40"/>
      <c r="B22" s="83"/>
      <c r="J22" s="47"/>
      <c r="K22" s="84"/>
      <c r="L22" s="85" t="b">
        <v>0</v>
      </c>
      <c r="M22" s="86"/>
      <c r="N22" s="87"/>
      <c r="O22" s="88"/>
      <c r="P22" s="1"/>
    </row>
    <row r="23" ht="15.75" customHeight="1">
      <c r="A23" s="40"/>
      <c r="B23" s="83"/>
      <c r="J23" s="47"/>
      <c r="K23" s="84"/>
      <c r="L23" s="85" t="b">
        <v>0</v>
      </c>
      <c r="M23" s="86"/>
      <c r="N23" s="87"/>
      <c r="O23" s="88"/>
      <c r="P23" s="1"/>
    </row>
    <row r="24" ht="15.75" customHeight="1">
      <c r="A24" s="40"/>
      <c r="B24" s="83"/>
      <c r="J24" s="47"/>
      <c r="K24" s="84"/>
      <c r="L24" s="85" t="b">
        <v>0</v>
      </c>
      <c r="M24" s="86"/>
      <c r="N24" s="87"/>
      <c r="O24" s="88"/>
      <c r="P24" s="1"/>
    </row>
    <row r="25" ht="15.75" customHeight="1">
      <c r="A25" s="40"/>
      <c r="B25" s="83"/>
      <c r="J25" s="47"/>
      <c r="K25" s="84"/>
      <c r="L25" s="85" t="b">
        <v>0</v>
      </c>
      <c r="M25" s="86"/>
      <c r="N25" s="87"/>
      <c r="O25" s="88"/>
      <c r="P25" s="1"/>
    </row>
    <row r="26" ht="15.75" customHeight="1">
      <c r="A26" s="40"/>
      <c r="B26" s="83"/>
      <c r="J26" s="47"/>
      <c r="K26" s="84"/>
      <c r="L26" s="85" t="b">
        <v>0</v>
      </c>
      <c r="M26" s="86"/>
      <c r="N26" s="87"/>
      <c r="O26" s="88"/>
      <c r="P26" s="1"/>
    </row>
    <row r="27" ht="15.75" customHeight="1">
      <c r="A27" s="40"/>
      <c r="B27" s="83"/>
      <c r="J27" s="47"/>
      <c r="K27" s="84"/>
      <c r="L27" s="85" t="b">
        <v>0</v>
      </c>
      <c r="M27" s="86"/>
      <c r="N27" s="87"/>
      <c r="O27" s="88"/>
      <c r="P27" s="1"/>
    </row>
    <row r="28" ht="15.75" customHeight="1">
      <c r="A28" s="40"/>
      <c r="B28" s="83"/>
      <c r="J28" s="47"/>
      <c r="K28" s="84"/>
      <c r="L28" s="85" t="b">
        <v>0</v>
      </c>
      <c r="M28" s="86"/>
      <c r="N28" s="87"/>
      <c r="O28" s="88"/>
      <c r="P28" s="1"/>
    </row>
    <row r="29" ht="15.75" customHeight="1">
      <c r="A29" s="40"/>
      <c r="B29" s="83"/>
      <c r="J29" s="47"/>
      <c r="K29" s="84"/>
      <c r="L29" s="85" t="b">
        <v>0</v>
      </c>
      <c r="M29" s="86"/>
      <c r="N29" s="87"/>
      <c r="O29" s="88"/>
      <c r="P29" s="1"/>
    </row>
    <row r="30" ht="15.75" customHeight="1">
      <c r="A30" s="40"/>
      <c r="B30" s="83"/>
      <c r="J30" s="47"/>
      <c r="K30" s="84"/>
      <c r="L30" s="85" t="b">
        <v>0</v>
      </c>
      <c r="M30" s="86"/>
      <c r="N30" s="87"/>
      <c r="O30" s="88"/>
      <c r="P30" s="1"/>
    </row>
    <row r="31" ht="15.75" customHeight="1">
      <c r="A31" s="40"/>
      <c r="B31" s="83"/>
      <c r="J31" s="47"/>
      <c r="K31" s="84"/>
      <c r="L31" s="85" t="b">
        <v>0</v>
      </c>
      <c r="M31" s="86"/>
      <c r="N31" s="87"/>
      <c r="O31" s="88"/>
      <c r="P31" s="1"/>
    </row>
    <row r="32" ht="15.75" customHeight="1">
      <c r="A32" s="40"/>
      <c r="B32" s="83"/>
      <c r="J32" s="47"/>
      <c r="K32" s="84"/>
      <c r="L32" s="85" t="b">
        <v>0</v>
      </c>
      <c r="M32" s="86"/>
      <c r="N32" s="87"/>
      <c r="O32" s="88"/>
      <c r="P32" s="1"/>
    </row>
    <row r="33" ht="15.75" customHeight="1">
      <c r="A33" s="40"/>
      <c r="B33" s="83"/>
      <c r="J33" s="47"/>
      <c r="K33" s="84"/>
      <c r="L33" s="85" t="b">
        <v>0</v>
      </c>
      <c r="M33" s="86"/>
      <c r="N33" s="87"/>
      <c r="O33" s="88"/>
      <c r="P33" s="1"/>
    </row>
    <row r="34" ht="15.75" customHeight="1">
      <c r="A34" s="40"/>
      <c r="B34" s="83"/>
      <c r="J34" s="47"/>
      <c r="K34" s="84"/>
      <c r="L34" s="85" t="b">
        <v>0</v>
      </c>
      <c r="M34" s="86"/>
      <c r="N34" s="87"/>
      <c r="O34" s="88"/>
      <c r="P34" s="1"/>
    </row>
    <row r="35" ht="15.75" customHeight="1">
      <c r="A35" s="40"/>
      <c r="B35" s="83"/>
      <c r="J35" s="47"/>
      <c r="K35" s="84"/>
      <c r="L35" s="85" t="b">
        <v>0</v>
      </c>
      <c r="M35" s="86"/>
      <c r="N35" s="87"/>
      <c r="O35" s="88"/>
      <c r="P35" s="1"/>
    </row>
    <row r="36" ht="15.75" customHeight="1">
      <c r="A36" s="40"/>
      <c r="B36" s="83"/>
      <c r="J36" s="47"/>
      <c r="K36" s="84"/>
      <c r="L36" s="85" t="b">
        <v>0</v>
      </c>
      <c r="M36" s="86"/>
      <c r="N36" s="87"/>
      <c r="O36" s="88"/>
      <c r="P36" s="1"/>
    </row>
    <row r="37" ht="15.75" customHeight="1">
      <c r="A37" s="40"/>
      <c r="B37" s="83"/>
      <c r="J37" s="47"/>
      <c r="K37" s="84"/>
      <c r="L37" s="85" t="b">
        <v>0</v>
      </c>
      <c r="M37" s="86"/>
      <c r="N37" s="87"/>
      <c r="O37" s="88"/>
      <c r="P37" s="1"/>
    </row>
    <row r="38" ht="15.75" customHeight="1">
      <c r="A38" s="40"/>
      <c r="B38" s="83"/>
      <c r="J38" s="47"/>
      <c r="K38" s="84"/>
      <c r="L38" s="85" t="b">
        <v>0</v>
      </c>
      <c r="M38" s="86"/>
      <c r="N38" s="87"/>
      <c r="O38" s="88"/>
      <c r="P38" s="1"/>
    </row>
    <row r="39" ht="15.75" customHeight="1">
      <c r="A39" s="40"/>
      <c r="B39" s="83"/>
      <c r="J39" s="47"/>
      <c r="K39" s="84"/>
      <c r="L39" s="85" t="b">
        <v>0</v>
      </c>
      <c r="M39" s="86"/>
      <c r="N39" s="87"/>
      <c r="O39" s="88"/>
      <c r="P39" s="1"/>
    </row>
    <row r="40" ht="15.75" customHeight="1">
      <c r="A40" s="40"/>
      <c r="B40" s="83"/>
      <c r="J40" s="47"/>
      <c r="K40" s="84"/>
      <c r="L40" s="85" t="b">
        <v>0</v>
      </c>
      <c r="M40" s="86"/>
      <c r="N40" s="87"/>
      <c r="O40" s="88"/>
      <c r="P40" s="1"/>
    </row>
    <row r="41" ht="15.75" customHeight="1">
      <c r="A41" s="40"/>
      <c r="B41" s="83"/>
      <c r="J41" s="47"/>
      <c r="K41" s="84"/>
      <c r="L41" s="85" t="b">
        <v>0</v>
      </c>
      <c r="M41" s="86"/>
      <c r="N41" s="87"/>
      <c r="O41" s="88"/>
      <c r="P41" s="1"/>
    </row>
    <row r="42" ht="15.75" customHeight="1">
      <c r="A42" s="40"/>
      <c r="B42" s="83"/>
      <c r="J42" s="47"/>
      <c r="K42" s="84"/>
      <c r="L42" s="85" t="b">
        <v>0</v>
      </c>
      <c r="M42" s="86"/>
      <c r="N42" s="87"/>
      <c r="O42" s="88"/>
      <c r="P42" s="1"/>
    </row>
    <row r="43" ht="15.75" customHeight="1">
      <c r="A43" s="40"/>
      <c r="B43" s="83"/>
      <c r="J43" s="47"/>
      <c r="K43" s="84"/>
      <c r="L43" s="85" t="b">
        <v>0</v>
      </c>
      <c r="M43" s="86"/>
      <c r="N43" s="87"/>
      <c r="O43" s="88"/>
      <c r="P43" s="1"/>
    </row>
    <row r="44" ht="15.75" customHeight="1">
      <c r="A44" s="40"/>
      <c r="B44" s="83"/>
      <c r="J44" s="47"/>
      <c r="K44" s="84"/>
      <c r="L44" s="85" t="b">
        <v>0</v>
      </c>
      <c r="M44" s="86"/>
      <c r="N44" s="87"/>
      <c r="O44" s="88"/>
      <c r="P44" s="1"/>
    </row>
    <row r="45" ht="15.75" customHeight="1">
      <c r="A45" s="40"/>
      <c r="B45" s="83"/>
      <c r="J45" s="47"/>
      <c r="K45" s="84"/>
      <c r="L45" s="85" t="b">
        <v>0</v>
      </c>
      <c r="M45" s="86"/>
      <c r="N45" s="87"/>
      <c r="O45" s="88"/>
      <c r="P45" s="1"/>
    </row>
    <row r="46" ht="15.75" customHeight="1">
      <c r="A46" s="40"/>
      <c r="B46" s="83"/>
      <c r="J46" s="47"/>
      <c r="K46" s="84"/>
      <c r="L46" s="85" t="b">
        <v>0</v>
      </c>
      <c r="M46" s="86"/>
      <c r="N46" s="87"/>
      <c r="O46" s="88"/>
      <c r="P46" s="1"/>
    </row>
    <row r="47" ht="15.75" customHeight="1">
      <c r="A47" s="40"/>
      <c r="B47" s="83"/>
      <c r="J47" s="47"/>
      <c r="K47" s="84"/>
      <c r="L47" s="85" t="b">
        <v>0</v>
      </c>
      <c r="M47" s="86"/>
      <c r="N47" s="87"/>
      <c r="O47" s="88"/>
      <c r="P47" s="1"/>
    </row>
    <row r="48" ht="15.75" customHeight="1">
      <c r="A48" s="40"/>
      <c r="B48" s="83"/>
      <c r="J48" s="47"/>
      <c r="K48" s="84"/>
      <c r="L48" s="85" t="b">
        <v>0</v>
      </c>
      <c r="M48" s="86"/>
      <c r="N48" s="87"/>
      <c r="O48" s="88"/>
      <c r="P48" s="1"/>
    </row>
    <row r="49" ht="15.75" customHeight="1">
      <c r="A49" s="40"/>
      <c r="B49" s="89"/>
      <c r="C49" s="16"/>
      <c r="D49" s="16"/>
      <c r="E49" s="16"/>
      <c r="F49" s="16"/>
      <c r="G49" s="16"/>
      <c r="H49" s="16"/>
      <c r="I49" s="16"/>
      <c r="J49" s="90"/>
      <c r="K49" s="91"/>
      <c r="L49" s="92" t="b">
        <v>0</v>
      </c>
      <c r="M49" s="93"/>
      <c r="N49" s="94"/>
      <c r="O49" s="95"/>
      <c r="P49" s="40"/>
    </row>
    <row r="50" ht="15.75" customHeight="1">
      <c r="A50" s="40"/>
      <c r="B50" s="96"/>
      <c r="C50" s="96"/>
      <c r="D50" s="96"/>
      <c r="E50" s="96"/>
      <c r="F50" s="96"/>
      <c r="G50" s="96"/>
      <c r="H50" s="96"/>
      <c r="I50" s="1"/>
      <c r="J50" s="1"/>
      <c r="K50" s="1"/>
      <c r="L50" s="1"/>
      <c r="M50" s="1"/>
      <c r="N50" s="97"/>
      <c r="O50" s="97"/>
      <c r="P50" s="40"/>
    </row>
    <row r="51" ht="15.75" customHeight="1">
      <c r="A51" s="40"/>
      <c r="B51" s="98" t="s">
        <v>58</v>
      </c>
      <c r="C51" s="99"/>
      <c r="D51" s="99"/>
      <c r="E51" s="99"/>
      <c r="F51" s="99"/>
      <c r="G51" s="99"/>
      <c r="H51" s="99"/>
      <c r="I51" s="100"/>
      <c r="J51" s="101" t="s">
        <v>59</v>
      </c>
      <c r="K51" s="102"/>
      <c r="L51" s="1"/>
      <c r="M51" s="1"/>
      <c r="N51" s="97"/>
      <c r="O51" s="97"/>
      <c r="P51" s="40"/>
    </row>
    <row r="52" ht="15.75" customHeight="1">
      <c r="A52" s="40"/>
      <c r="B52" s="103" t="s">
        <v>60</v>
      </c>
      <c r="C52" s="104" t="s">
        <v>61</v>
      </c>
      <c r="D52" s="105"/>
      <c r="E52" s="106"/>
      <c r="F52" s="104" t="s">
        <v>62</v>
      </c>
      <c r="G52" s="105"/>
      <c r="H52" s="107"/>
      <c r="I52" s="100"/>
      <c r="J52" s="108" t="s">
        <v>63</v>
      </c>
      <c r="K52" s="109"/>
      <c r="L52" s="110"/>
      <c r="M52" s="111" t="s">
        <v>64</v>
      </c>
      <c r="N52" s="109"/>
      <c r="O52" s="102"/>
      <c r="P52" s="40"/>
    </row>
    <row r="53" ht="15.75" customHeight="1">
      <c r="A53" s="40"/>
      <c r="B53" s="112"/>
      <c r="C53" s="113" t="s">
        <v>65</v>
      </c>
      <c r="D53" s="114" t="s">
        <v>66</v>
      </c>
      <c r="E53" s="115" t="s">
        <v>67</v>
      </c>
      <c r="F53" s="113" t="s">
        <v>65</v>
      </c>
      <c r="G53" s="114" t="s">
        <v>66</v>
      </c>
      <c r="H53" s="116" t="s">
        <v>67</v>
      </c>
      <c r="I53" s="110"/>
      <c r="J53" s="117" t="str">
        <f t="array" ref="J53">GPA({$K$8:$K$49,$M$8:$M$49,$O$8:$O$49},1,2)</f>
        <v>Loading...</v>
      </c>
      <c r="K53" s="118"/>
      <c r="L53" s="110"/>
      <c r="M53" s="119" t="str">
        <f t="array" ref="M53">CREDITSSUM({$K$8:$K$49,$M$8:$M$49},1,2)</f>
        <v>Loading...</v>
      </c>
      <c r="N53" s="118"/>
      <c r="O53" s="120"/>
      <c r="P53" s="40"/>
    </row>
    <row r="54" ht="15.75" customHeight="1">
      <c r="A54" s="40"/>
      <c r="B54" s="132" t="s">
        <v>68</v>
      </c>
      <c r="C54" s="122"/>
      <c r="D54" s="84"/>
      <c r="E54" s="123"/>
      <c r="F54" s="86"/>
      <c r="G54" s="84"/>
      <c r="H54" s="124"/>
      <c r="I54" s="110"/>
      <c r="J54" s="1"/>
      <c r="K54" s="1"/>
      <c r="L54" s="1"/>
      <c r="M54" s="1"/>
      <c r="N54" s="1"/>
      <c r="O54" s="1"/>
      <c r="P54" s="40"/>
    </row>
    <row r="55" ht="15.75" customHeight="1">
      <c r="A55" s="73"/>
      <c r="B55" s="132" t="s">
        <v>69</v>
      </c>
      <c r="C55" s="122"/>
      <c r="D55" s="84"/>
      <c r="E55" s="123"/>
      <c r="F55" s="86"/>
      <c r="G55" s="84"/>
      <c r="H55" s="124"/>
      <c r="I55" s="59"/>
      <c r="K55" s="60"/>
      <c r="L55" s="60"/>
      <c r="M55" s="60"/>
      <c r="N55" s="60"/>
      <c r="O55" s="60"/>
      <c r="P55" s="40"/>
    </row>
    <row r="56" ht="15.75" customHeight="1">
      <c r="A56" s="73"/>
      <c r="B56" s="121" t="s">
        <v>70</v>
      </c>
      <c r="C56" s="122"/>
      <c r="D56" s="84"/>
      <c r="E56" s="123"/>
      <c r="F56" s="86"/>
      <c r="G56" s="84"/>
      <c r="H56" s="124"/>
      <c r="I56" s="59"/>
      <c r="K56" s="60"/>
      <c r="L56" s="60"/>
      <c r="M56" s="60"/>
      <c r="N56" s="60"/>
      <c r="O56" s="60"/>
      <c r="P56" s="40"/>
    </row>
    <row r="57" ht="15.75" customHeight="1">
      <c r="A57" s="73"/>
      <c r="B57" s="125" t="s">
        <v>71</v>
      </c>
      <c r="C57" s="126"/>
      <c r="D57" s="127"/>
      <c r="E57" s="128"/>
      <c r="F57" s="129"/>
      <c r="G57" s="127"/>
      <c r="H57" s="130"/>
      <c r="I57" s="59"/>
      <c r="J57" s="59"/>
      <c r="K57" s="60"/>
      <c r="L57" s="60"/>
      <c r="M57" s="60"/>
      <c r="N57" s="60"/>
      <c r="O57" s="60"/>
      <c r="P57" s="40"/>
    </row>
    <row r="58" ht="15.75" customHeight="1">
      <c r="A58" s="40"/>
      <c r="B58" s="96"/>
      <c r="C58" s="96"/>
      <c r="D58" s="96"/>
      <c r="E58" s="96"/>
      <c r="F58" s="96"/>
      <c r="G58" s="96"/>
      <c r="H58" s="96"/>
      <c r="I58" s="97"/>
      <c r="J58" s="97"/>
      <c r="K58" s="97"/>
      <c r="L58" s="131"/>
      <c r="M58" s="97"/>
      <c r="N58" s="97"/>
      <c r="O58" s="97"/>
      <c r="P58" s="40"/>
    </row>
    <row r="59" ht="15.75" customHeight="1">
      <c r="A59" s="40"/>
      <c r="B59" s="96"/>
      <c r="C59" s="96"/>
      <c r="D59" s="96"/>
      <c r="E59" s="96"/>
      <c r="F59" s="96"/>
      <c r="G59" s="96"/>
      <c r="H59" s="96"/>
      <c r="I59" s="97"/>
      <c r="J59" s="97"/>
      <c r="K59" s="97"/>
      <c r="L59" s="131"/>
      <c r="M59" s="97"/>
      <c r="N59" s="97"/>
      <c r="O59" s="97"/>
      <c r="P59" s="40"/>
    </row>
  </sheetData>
  <mergeCells count="71">
    <mergeCell ref="B40:J40"/>
    <mergeCell ref="B41:J41"/>
    <mergeCell ref="B42:J42"/>
    <mergeCell ref="B43:J43"/>
    <mergeCell ref="B44:J44"/>
    <mergeCell ref="B45:J45"/>
    <mergeCell ref="B46:J46"/>
    <mergeCell ref="J52:K52"/>
    <mergeCell ref="M52:O52"/>
    <mergeCell ref="M53:O53"/>
    <mergeCell ref="I55:J55"/>
    <mergeCell ref="I56:J56"/>
    <mergeCell ref="B47:J47"/>
    <mergeCell ref="B48:J48"/>
    <mergeCell ref="B49:J49"/>
    <mergeCell ref="J51:K51"/>
    <mergeCell ref="B52:B53"/>
    <mergeCell ref="C52:E52"/>
    <mergeCell ref="F52:H52"/>
    <mergeCell ref="J53:K53"/>
    <mergeCell ref="C1:H1"/>
    <mergeCell ref="I1:O1"/>
    <mergeCell ref="C2:E2"/>
    <mergeCell ref="F2:H2"/>
    <mergeCell ref="I2:J2"/>
    <mergeCell ref="K2:O2"/>
    <mergeCell ref="C3:E3"/>
    <mergeCell ref="K3:O3"/>
    <mergeCell ref="F3:H3"/>
    <mergeCell ref="I3:J3"/>
    <mergeCell ref="C4:E4"/>
    <mergeCell ref="F4:H4"/>
    <mergeCell ref="I4:J4"/>
    <mergeCell ref="K4:O4"/>
    <mergeCell ref="C5:E6"/>
    <mergeCell ref="K5:O6"/>
    <mergeCell ref="F5:H6"/>
    <mergeCell ref="I5:J6"/>
    <mergeCell ref="B7:J7"/>
    <mergeCell ref="B8:J8"/>
    <mergeCell ref="B9:J9"/>
    <mergeCell ref="B10:J10"/>
    <mergeCell ref="B11:J11"/>
    <mergeCell ref="B12:J12"/>
    <mergeCell ref="B13:J13"/>
    <mergeCell ref="B14:J14"/>
    <mergeCell ref="B15:J15"/>
    <mergeCell ref="B16:J16"/>
    <mergeCell ref="B17:J17"/>
    <mergeCell ref="B18:J18"/>
    <mergeCell ref="B19:J19"/>
    <mergeCell ref="B20:J20"/>
    <mergeCell ref="B21:J21"/>
    <mergeCell ref="B22:J22"/>
    <mergeCell ref="B23:J23"/>
    <mergeCell ref="B24:J24"/>
    <mergeCell ref="B25:J25"/>
    <mergeCell ref="B26:J26"/>
    <mergeCell ref="B27:J27"/>
    <mergeCell ref="B28:J28"/>
    <mergeCell ref="B29:J29"/>
    <mergeCell ref="B30:J30"/>
    <mergeCell ref="B31:J31"/>
    <mergeCell ref="B32:J32"/>
    <mergeCell ref="B33:J33"/>
    <mergeCell ref="B34:J34"/>
    <mergeCell ref="B35:J35"/>
    <mergeCell ref="B36:J36"/>
    <mergeCell ref="B37:J37"/>
    <mergeCell ref="B38:J38"/>
    <mergeCell ref="B39:J39"/>
  </mergeCells>
  <dataValidations>
    <dataValidation type="custom" allowBlank="1" showDropDown="1" showInputMessage="1" showErrorMessage="1" prompt="Enter a number" sqref="K8:K48 O8:O49">
      <formula1>ISNUMBER(K8)</formula1>
    </dataValidation>
    <dataValidation type="list" allowBlank="1" showInputMessage="1" showErrorMessage="1" prompt="Click and enter a valid scale from the list of items. The valid scales are Letter, 0-100, 0-4, and None" sqref="B3">
      <formula1>"Letter,0-4,0-100,None"</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8.88"/>
    <col customWidth="1" min="3" max="8" width="6.38"/>
    <col customWidth="1" hidden="1" min="9" max="9" width="18.88"/>
    <col customWidth="1" min="10" max="10" width="18.88"/>
    <col customWidth="1" min="11" max="11" width="6.38"/>
    <col customWidth="1" hidden="1" min="12" max="12" width="18.88"/>
    <col customWidth="1" min="13" max="13" width="6.38"/>
    <col customWidth="1" hidden="1" min="14" max="14" width="6.38"/>
    <col customWidth="1" min="15" max="15" width="6.38"/>
  </cols>
  <sheetData>
    <row r="1" ht="31.5" customHeight="1">
      <c r="A1" s="58"/>
      <c r="B1" s="1"/>
      <c r="C1" s="71" t="s">
        <v>5</v>
      </c>
      <c r="I1" s="58" t="s">
        <v>6</v>
      </c>
      <c r="P1" s="72"/>
    </row>
    <row r="2" ht="15.75" customHeight="1">
      <c r="A2" s="73"/>
      <c r="B2" s="74" t="s">
        <v>50</v>
      </c>
      <c r="C2" s="59" t="s">
        <v>8</v>
      </c>
      <c r="F2" s="60" t="str">
        <f>'Getting Started'!$G$10</f>
        <v/>
      </c>
      <c r="I2" s="59" t="s">
        <v>9</v>
      </c>
      <c r="K2" s="60" t="str">
        <f>'Getting Started'!$I$10</f>
        <v/>
      </c>
      <c r="P2" s="40"/>
    </row>
    <row r="3" ht="15.75" customHeight="1">
      <c r="A3" s="73"/>
      <c r="B3" s="75" t="s">
        <v>51</v>
      </c>
      <c r="C3" s="59" t="s">
        <v>11</v>
      </c>
      <c r="F3" s="61" t="str">
        <f>'Getting Started'!$G$11</f>
        <v/>
      </c>
      <c r="I3" s="59" t="s">
        <v>12</v>
      </c>
      <c r="K3" s="60" t="str">
        <f>'Getting Started'!$I$11</f>
        <v/>
      </c>
      <c r="P3" s="40"/>
    </row>
    <row r="4" ht="31.5" customHeight="1">
      <c r="A4" s="73"/>
      <c r="B4" s="1"/>
      <c r="C4" s="59" t="s">
        <v>13</v>
      </c>
      <c r="F4" s="60" t="str">
        <f>'Getting Started'!$G$12</f>
        <v/>
      </c>
      <c r="I4" s="59" t="s">
        <v>14</v>
      </c>
      <c r="K4" s="60" t="str">
        <f>'Getting Started'!$I$12</f>
        <v/>
      </c>
      <c r="P4" s="40"/>
    </row>
    <row r="5" ht="15.75" customHeight="1">
      <c r="A5" s="73"/>
      <c r="B5" s="1"/>
      <c r="C5" s="59" t="s">
        <v>15</v>
      </c>
      <c r="F5" s="62" t="str">
        <f>'Getting Started'!$G$14</f>
        <v/>
      </c>
      <c r="I5" s="59" t="s">
        <v>16</v>
      </c>
      <c r="K5" s="60" t="str">
        <f>'Getting Started'!$I$14</f>
        <v/>
      </c>
      <c r="P5" s="40"/>
    </row>
    <row r="6" ht="15.75" customHeight="1">
      <c r="A6" s="73"/>
      <c r="B6" s="19" t="s">
        <v>52</v>
      </c>
      <c r="P6" s="40"/>
    </row>
    <row r="7" ht="31.5" customHeight="1">
      <c r="A7" s="40"/>
      <c r="B7" s="76" t="s">
        <v>53</v>
      </c>
      <c r="C7" s="8"/>
      <c r="D7" s="8"/>
      <c r="E7" s="8"/>
      <c r="F7" s="8"/>
      <c r="G7" s="8"/>
      <c r="H7" s="8"/>
      <c r="I7" s="8"/>
      <c r="J7" s="77"/>
      <c r="K7" s="78" t="s">
        <v>54</v>
      </c>
      <c r="L7" s="79" t="s">
        <v>55</v>
      </c>
      <c r="M7" s="80" t="s">
        <v>56</v>
      </c>
      <c r="N7" s="81"/>
      <c r="O7" s="82" t="s">
        <v>57</v>
      </c>
      <c r="P7" s="1"/>
    </row>
    <row r="8" ht="15.75" customHeight="1">
      <c r="A8" s="40"/>
      <c r="B8" s="83"/>
      <c r="J8" s="47"/>
      <c r="K8" s="84"/>
      <c r="L8" s="85" t="b">
        <v>0</v>
      </c>
      <c r="M8" s="86"/>
      <c r="N8" s="87"/>
      <c r="O8" s="88"/>
      <c r="P8" s="1"/>
    </row>
    <row r="9" ht="15.75" customHeight="1">
      <c r="A9" s="40"/>
      <c r="B9" s="83"/>
      <c r="J9" s="47"/>
      <c r="K9" s="84"/>
      <c r="L9" s="85" t="b">
        <v>0</v>
      </c>
      <c r="M9" s="86"/>
      <c r="N9" s="87"/>
      <c r="O9" s="88"/>
      <c r="P9" s="1"/>
    </row>
    <row r="10" ht="15.75" customHeight="1">
      <c r="A10" s="40"/>
      <c r="B10" s="83"/>
      <c r="J10" s="47"/>
      <c r="K10" s="84"/>
      <c r="L10" s="85" t="b">
        <v>0</v>
      </c>
      <c r="M10" s="86"/>
      <c r="N10" s="87"/>
      <c r="O10" s="88"/>
      <c r="P10" s="1"/>
    </row>
    <row r="11" ht="15.75" customHeight="1">
      <c r="A11" s="40"/>
      <c r="B11" s="83"/>
      <c r="J11" s="47"/>
      <c r="K11" s="84"/>
      <c r="L11" s="85" t="b">
        <v>0</v>
      </c>
      <c r="M11" s="86"/>
      <c r="N11" s="87"/>
      <c r="O11" s="88"/>
      <c r="P11" s="1"/>
    </row>
    <row r="12" ht="15.75" customHeight="1">
      <c r="A12" s="40"/>
      <c r="B12" s="83"/>
      <c r="J12" s="47"/>
      <c r="K12" s="84"/>
      <c r="L12" s="85" t="b">
        <v>0</v>
      </c>
      <c r="M12" s="86"/>
      <c r="N12" s="87"/>
      <c r="O12" s="88"/>
      <c r="P12" s="1"/>
    </row>
    <row r="13" ht="15.75" customHeight="1">
      <c r="A13" s="40"/>
      <c r="B13" s="83"/>
      <c r="J13" s="47"/>
      <c r="K13" s="84"/>
      <c r="L13" s="85" t="b">
        <v>0</v>
      </c>
      <c r="M13" s="86"/>
      <c r="N13" s="87"/>
      <c r="O13" s="88"/>
      <c r="P13" s="1"/>
    </row>
    <row r="14" ht="15.75" customHeight="1">
      <c r="A14" s="40"/>
      <c r="B14" s="83"/>
      <c r="J14" s="47"/>
      <c r="K14" s="84"/>
      <c r="L14" s="85" t="b">
        <v>0</v>
      </c>
      <c r="M14" s="86"/>
      <c r="N14" s="87"/>
      <c r="O14" s="88"/>
      <c r="P14" s="1"/>
    </row>
    <row r="15" ht="15.75" customHeight="1">
      <c r="A15" s="40"/>
      <c r="B15" s="83"/>
      <c r="J15" s="47"/>
      <c r="K15" s="84"/>
      <c r="L15" s="85" t="b">
        <v>0</v>
      </c>
      <c r="M15" s="86"/>
      <c r="N15" s="87"/>
      <c r="O15" s="88"/>
      <c r="P15" s="1"/>
    </row>
    <row r="16" ht="15.75" customHeight="1">
      <c r="A16" s="40"/>
      <c r="B16" s="83"/>
      <c r="J16" s="47"/>
      <c r="K16" s="84"/>
      <c r="L16" s="85" t="b">
        <v>0</v>
      </c>
      <c r="M16" s="86"/>
      <c r="N16" s="87"/>
      <c r="O16" s="88"/>
      <c r="P16" s="1"/>
    </row>
    <row r="17" ht="15.75" customHeight="1">
      <c r="A17" s="40"/>
      <c r="B17" s="83"/>
      <c r="J17" s="47"/>
      <c r="K17" s="84"/>
      <c r="L17" s="85" t="b">
        <v>0</v>
      </c>
      <c r="M17" s="86"/>
      <c r="N17" s="87"/>
      <c r="O17" s="88"/>
      <c r="P17" s="1"/>
    </row>
    <row r="18" ht="15.75" customHeight="1">
      <c r="A18" s="40"/>
      <c r="B18" s="83"/>
      <c r="J18" s="47"/>
      <c r="K18" s="84"/>
      <c r="L18" s="85" t="b">
        <v>0</v>
      </c>
      <c r="M18" s="86"/>
      <c r="N18" s="87"/>
      <c r="O18" s="88"/>
      <c r="P18" s="1"/>
    </row>
    <row r="19" ht="15.75" customHeight="1">
      <c r="A19" s="40"/>
      <c r="B19" s="83"/>
      <c r="J19" s="47"/>
      <c r="K19" s="84"/>
      <c r="L19" s="85" t="b">
        <v>0</v>
      </c>
      <c r="M19" s="86"/>
      <c r="N19" s="87"/>
      <c r="O19" s="88"/>
      <c r="P19" s="1"/>
    </row>
    <row r="20" ht="15.75" customHeight="1">
      <c r="A20" s="40"/>
      <c r="B20" s="83"/>
      <c r="J20" s="47"/>
      <c r="K20" s="84"/>
      <c r="L20" s="85" t="b">
        <v>0</v>
      </c>
      <c r="M20" s="86"/>
      <c r="N20" s="87"/>
      <c r="O20" s="88"/>
      <c r="P20" s="1"/>
    </row>
    <row r="21" ht="15.75" customHeight="1">
      <c r="A21" s="40"/>
      <c r="B21" s="83"/>
      <c r="J21" s="47"/>
      <c r="K21" s="84"/>
      <c r="L21" s="85" t="b">
        <v>0</v>
      </c>
      <c r="M21" s="86"/>
      <c r="N21" s="87"/>
      <c r="O21" s="88"/>
      <c r="P21" s="1"/>
    </row>
    <row r="22" ht="15.75" customHeight="1">
      <c r="A22" s="40"/>
      <c r="B22" s="83"/>
      <c r="J22" s="47"/>
      <c r="K22" s="84"/>
      <c r="L22" s="85" t="b">
        <v>0</v>
      </c>
      <c r="M22" s="86"/>
      <c r="N22" s="87"/>
      <c r="O22" s="88"/>
      <c r="P22" s="1"/>
    </row>
    <row r="23" ht="15.75" customHeight="1">
      <c r="A23" s="40"/>
      <c r="B23" s="83"/>
      <c r="J23" s="47"/>
      <c r="K23" s="84"/>
      <c r="L23" s="85" t="b">
        <v>0</v>
      </c>
      <c r="M23" s="86"/>
      <c r="N23" s="87"/>
      <c r="O23" s="88"/>
      <c r="P23" s="1"/>
    </row>
    <row r="24" ht="15.75" customHeight="1">
      <c r="A24" s="40"/>
      <c r="B24" s="83"/>
      <c r="J24" s="47"/>
      <c r="K24" s="84"/>
      <c r="L24" s="85" t="b">
        <v>0</v>
      </c>
      <c r="M24" s="86"/>
      <c r="N24" s="87"/>
      <c r="O24" s="88"/>
      <c r="P24" s="1"/>
    </row>
    <row r="25" ht="15.75" customHeight="1">
      <c r="A25" s="40"/>
      <c r="B25" s="83"/>
      <c r="J25" s="47"/>
      <c r="K25" s="84"/>
      <c r="L25" s="85" t="b">
        <v>0</v>
      </c>
      <c r="M25" s="86"/>
      <c r="N25" s="87"/>
      <c r="O25" s="88"/>
      <c r="P25" s="1"/>
    </row>
    <row r="26" ht="15.75" customHeight="1">
      <c r="A26" s="40"/>
      <c r="B26" s="83"/>
      <c r="J26" s="47"/>
      <c r="K26" s="84"/>
      <c r="L26" s="85" t="b">
        <v>0</v>
      </c>
      <c r="M26" s="86"/>
      <c r="N26" s="87"/>
      <c r="O26" s="88"/>
      <c r="P26" s="1"/>
    </row>
    <row r="27" ht="15.75" customHeight="1">
      <c r="A27" s="40"/>
      <c r="B27" s="83"/>
      <c r="J27" s="47"/>
      <c r="K27" s="84"/>
      <c r="L27" s="85" t="b">
        <v>0</v>
      </c>
      <c r="M27" s="86"/>
      <c r="N27" s="87"/>
      <c r="O27" s="88"/>
      <c r="P27" s="1"/>
    </row>
    <row r="28" ht="15.75" customHeight="1">
      <c r="A28" s="40"/>
      <c r="B28" s="83"/>
      <c r="J28" s="47"/>
      <c r="K28" s="84"/>
      <c r="L28" s="85" t="b">
        <v>0</v>
      </c>
      <c r="M28" s="86"/>
      <c r="N28" s="87"/>
      <c r="O28" s="88"/>
      <c r="P28" s="1"/>
    </row>
    <row r="29" ht="15.75" customHeight="1">
      <c r="A29" s="40"/>
      <c r="B29" s="83"/>
      <c r="J29" s="47"/>
      <c r="K29" s="84"/>
      <c r="L29" s="85" t="b">
        <v>0</v>
      </c>
      <c r="M29" s="86"/>
      <c r="N29" s="87"/>
      <c r="O29" s="88"/>
      <c r="P29" s="1"/>
    </row>
    <row r="30" ht="15.75" customHeight="1">
      <c r="A30" s="40"/>
      <c r="B30" s="83"/>
      <c r="J30" s="47"/>
      <c r="K30" s="84"/>
      <c r="L30" s="85" t="b">
        <v>0</v>
      </c>
      <c r="M30" s="86"/>
      <c r="N30" s="87"/>
      <c r="O30" s="88"/>
      <c r="P30" s="1"/>
    </row>
    <row r="31" ht="15.75" customHeight="1">
      <c r="A31" s="40"/>
      <c r="B31" s="83"/>
      <c r="J31" s="47"/>
      <c r="K31" s="84"/>
      <c r="L31" s="85" t="b">
        <v>0</v>
      </c>
      <c r="M31" s="86"/>
      <c r="N31" s="87"/>
      <c r="O31" s="88"/>
      <c r="P31" s="1"/>
    </row>
    <row r="32" ht="15.75" customHeight="1">
      <c r="A32" s="40"/>
      <c r="B32" s="83"/>
      <c r="J32" s="47"/>
      <c r="K32" s="84"/>
      <c r="L32" s="85" t="b">
        <v>0</v>
      </c>
      <c r="M32" s="86"/>
      <c r="N32" s="87"/>
      <c r="O32" s="88"/>
      <c r="P32" s="1"/>
    </row>
    <row r="33" ht="15.75" customHeight="1">
      <c r="A33" s="40"/>
      <c r="B33" s="83"/>
      <c r="J33" s="47"/>
      <c r="K33" s="84"/>
      <c r="L33" s="85" t="b">
        <v>0</v>
      </c>
      <c r="M33" s="86"/>
      <c r="N33" s="87"/>
      <c r="O33" s="88"/>
      <c r="P33" s="1"/>
    </row>
    <row r="34" ht="15.75" customHeight="1">
      <c r="A34" s="40"/>
      <c r="B34" s="83"/>
      <c r="J34" s="47"/>
      <c r="K34" s="84"/>
      <c r="L34" s="85" t="b">
        <v>0</v>
      </c>
      <c r="M34" s="86"/>
      <c r="N34" s="87"/>
      <c r="O34" s="88"/>
      <c r="P34" s="1"/>
    </row>
    <row r="35" ht="15.75" customHeight="1">
      <c r="A35" s="40"/>
      <c r="B35" s="83"/>
      <c r="J35" s="47"/>
      <c r="K35" s="84"/>
      <c r="L35" s="85" t="b">
        <v>0</v>
      </c>
      <c r="M35" s="86"/>
      <c r="N35" s="87"/>
      <c r="O35" s="88"/>
      <c r="P35" s="1"/>
    </row>
    <row r="36" ht="15.75" customHeight="1">
      <c r="A36" s="40"/>
      <c r="B36" s="83"/>
      <c r="J36" s="47"/>
      <c r="K36" s="84"/>
      <c r="L36" s="85" t="b">
        <v>0</v>
      </c>
      <c r="M36" s="86"/>
      <c r="N36" s="87"/>
      <c r="O36" s="88"/>
      <c r="P36" s="1"/>
    </row>
    <row r="37" ht="15.75" customHeight="1">
      <c r="A37" s="40"/>
      <c r="B37" s="83"/>
      <c r="J37" s="47"/>
      <c r="K37" s="84"/>
      <c r="L37" s="85" t="b">
        <v>0</v>
      </c>
      <c r="M37" s="86"/>
      <c r="N37" s="87"/>
      <c r="O37" s="88"/>
      <c r="P37" s="1"/>
    </row>
    <row r="38" ht="15.75" customHeight="1">
      <c r="A38" s="40"/>
      <c r="B38" s="83"/>
      <c r="J38" s="47"/>
      <c r="K38" s="84"/>
      <c r="L38" s="85" t="b">
        <v>0</v>
      </c>
      <c r="M38" s="86"/>
      <c r="N38" s="87"/>
      <c r="O38" s="88"/>
      <c r="P38" s="1"/>
    </row>
    <row r="39" ht="15.75" customHeight="1">
      <c r="A39" s="40"/>
      <c r="B39" s="83"/>
      <c r="J39" s="47"/>
      <c r="K39" s="84"/>
      <c r="L39" s="85" t="b">
        <v>0</v>
      </c>
      <c r="M39" s="86"/>
      <c r="N39" s="87"/>
      <c r="O39" s="88"/>
      <c r="P39" s="1"/>
    </row>
    <row r="40" ht="15.75" customHeight="1">
      <c r="A40" s="40"/>
      <c r="B40" s="83"/>
      <c r="J40" s="47"/>
      <c r="K40" s="84"/>
      <c r="L40" s="85" t="b">
        <v>0</v>
      </c>
      <c r="M40" s="86"/>
      <c r="N40" s="87"/>
      <c r="O40" s="88"/>
      <c r="P40" s="1"/>
    </row>
    <row r="41" ht="15.75" customHeight="1">
      <c r="A41" s="40"/>
      <c r="B41" s="83"/>
      <c r="J41" s="47"/>
      <c r="K41" s="84"/>
      <c r="L41" s="85" t="b">
        <v>0</v>
      </c>
      <c r="M41" s="86"/>
      <c r="N41" s="87"/>
      <c r="O41" s="88"/>
      <c r="P41" s="1"/>
    </row>
    <row r="42" ht="15.75" customHeight="1">
      <c r="A42" s="40"/>
      <c r="B42" s="83"/>
      <c r="J42" s="47"/>
      <c r="K42" s="84"/>
      <c r="L42" s="85" t="b">
        <v>0</v>
      </c>
      <c r="M42" s="86"/>
      <c r="N42" s="87"/>
      <c r="O42" s="88"/>
      <c r="P42" s="1"/>
    </row>
    <row r="43" ht="15.75" customHeight="1">
      <c r="A43" s="40"/>
      <c r="B43" s="83"/>
      <c r="J43" s="47"/>
      <c r="K43" s="84"/>
      <c r="L43" s="85" t="b">
        <v>0</v>
      </c>
      <c r="M43" s="86"/>
      <c r="N43" s="87"/>
      <c r="O43" s="88"/>
      <c r="P43" s="1"/>
    </row>
    <row r="44" ht="15.75" customHeight="1">
      <c r="A44" s="40"/>
      <c r="B44" s="83"/>
      <c r="J44" s="47"/>
      <c r="K44" s="84"/>
      <c r="L44" s="85" t="b">
        <v>0</v>
      </c>
      <c r="M44" s="86"/>
      <c r="N44" s="87"/>
      <c r="O44" s="88"/>
      <c r="P44" s="1"/>
    </row>
    <row r="45" ht="15.75" customHeight="1">
      <c r="A45" s="40"/>
      <c r="B45" s="83"/>
      <c r="J45" s="47"/>
      <c r="K45" s="84"/>
      <c r="L45" s="85" t="b">
        <v>0</v>
      </c>
      <c r="M45" s="86"/>
      <c r="N45" s="87"/>
      <c r="O45" s="88"/>
      <c r="P45" s="1"/>
    </row>
    <row r="46" ht="15.75" customHeight="1">
      <c r="A46" s="40"/>
      <c r="B46" s="83"/>
      <c r="J46" s="47"/>
      <c r="K46" s="84"/>
      <c r="L46" s="85" t="b">
        <v>0</v>
      </c>
      <c r="M46" s="86"/>
      <c r="N46" s="87"/>
      <c r="O46" s="88"/>
      <c r="P46" s="1"/>
    </row>
    <row r="47" ht="15.75" customHeight="1">
      <c r="A47" s="40"/>
      <c r="B47" s="83"/>
      <c r="J47" s="47"/>
      <c r="K47" s="84"/>
      <c r="L47" s="85" t="b">
        <v>0</v>
      </c>
      <c r="M47" s="86"/>
      <c r="N47" s="87"/>
      <c r="O47" s="88"/>
      <c r="P47" s="1"/>
    </row>
    <row r="48" ht="15.75" customHeight="1">
      <c r="A48" s="40"/>
      <c r="B48" s="83"/>
      <c r="J48" s="47"/>
      <c r="K48" s="84"/>
      <c r="L48" s="85" t="b">
        <v>0</v>
      </c>
      <c r="M48" s="86"/>
      <c r="N48" s="87"/>
      <c r="O48" s="88"/>
      <c r="P48" s="1"/>
    </row>
    <row r="49" ht="15.75" customHeight="1">
      <c r="A49" s="40"/>
      <c r="B49" s="89"/>
      <c r="C49" s="16"/>
      <c r="D49" s="16"/>
      <c r="E49" s="16"/>
      <c r="F49" s="16"/>
      <c r="G49" s="16"/>
      <c r="H49" s="16"/>
      <c r="I49" s="16"/>
      <c r="J49" s="90"/>
      <c r="K49" s="91"/>
      <c r="L49" s="92" t="b">
        <v>0</v>
      </c>
      <c r="M49" s="93"/>
      <c r="N49" s="94"/>
      <c r="O49" s="95"/>
      <c r="P49" s="40"/>
    </row>
    <row r="50" ht="15.75" customHeight="1">
      <c r="A50" s="40"/>
      <c r="B50" s="96"/>
      <c r="C50" s="96"/>
      <c r="D50" s="96"/>
      <c r="E50" s="96"/>
      <c r="F50" s="96"/>
      <c r="G50" s="96"/>
      <c r="H50" s="96"/>
      <c r="I50" s="1"/>
      <c r="J50" s="1"/>
      <c r="K50" s="1"/>
      <c r="L50" s="1"/>
      <c r="M50" s="1"/>
      <c r="N50" s="97"/>
      <c r="O50" s="97"/>
      <c r="P50" s="40"/>
    </row>
    <row r="51" ht="15.75" customHeight="1">
      <c r="A51" s="40"/>
      <c r="B51" s="98" t="s">
        <v>58</v>
      </c>
      <c r="C51" s="99"/>
      <c r="D51" s="99"/>
      <c r="E51" s="99"/>
      <c r="F51" s="99"/>
      <c r="G51" s="99"/>
      <c r="H51" s="99"/>
      <c r="I51" s="100"/>
      <c r="J51" s="101" t="s">
        <v>59</v>
      </c>
      <c r="K51" s="102"/>
      <c r="L51" s="1"/>
      <c r="M51" s="1"/>
      <c r="N51" s="97"/>
      <c r="O51" s="97"/>
      <c r="P51" s="40"/>
    </row>
    <row r="52" ht="15.75" customHeight="1">
      <c r="A52" s="40"/>
      <c r="B52" s="103" t="s">
        <v>60</v>
      </c>
      <c r="C52" s="104" t="s">
        <v>61</v>
      </c>
      <c r="D52" s="105"/>
      <c r="E52" s="106"/>
      <c r="F52" s="104" t="s">
        <v>62</v>
      </c>
      <c r="G52" s="105"/>
      <c r="H52" s="107"/>
      <c r="I52" s="100"/>
      <c r="J52" s="108" t="s">
        <v>63</v>
      </c>
      <c r="K52" s="109"/>
      <c r="L52" s="110"/>
      <c r="M52" s="111" t="s">
        <v>64</v>
      </c>
      <c r="N52" s="109"/>
      <c r="O52" s="102"/>
      <c r="P52" s="40"/>
    </row>
    <row r="53" ht="15.75" customHeight="1">
      <c r="A53" s="40"/>
      <c r="B53" s="112"/>
      <c r="C53" s="113" t="s">
        <v>65</v>
      </c>
      <c r="D53" s="114" t="s">
        <v>66</v>
      </c>
      <c r="E53" s="115" t="s">
        <v>67</v>
      </c>
      <c r="F53" s="113" t="s">
        <v>65</v>
      </c>
      <c r="G53" s="114" t="s">
        <v>66</v>
      </c>
      <c r="H53" s="116" t="s">
        <v>67</v>
      </c>
      <c r="I53" s="110"/>
      <c r="J53" s="117" t="str">
        <f t="array" ref="J53">GPA({$K$8:$K$49,$M$8:$M$49,$O$8:$O$49},1,2)</f>
        <v>Loading...</v>
      </c>
      <c r="K53" s="118"/>
      <c r="L53" s="110"/>
      <c r="M53" s="119" t="str">
        <f t="array" ref="M53">CREDITSSUM({$K$8:$K$49,$M$8:$M$49},1,2)</f>
        <v>Loading...</v>
      </c>
      <c r="N53" s="118"/>
      <c r="O53" s="120"/>
      <c r="P53" s="40"/>
    </row>
    <row r="54" ht="15.75" customHeight="1">
      <c r="A54" s="40"/>
      <c r="B54" s="132" t="s">
        <v>68</v>
      </c>
      <c r="C54" s="122"/>
      <c r="D54" s="84"/>
      <c r="E54" s="123"/>
      <c r="F54" s="86"/>
      <c r="G54" s="84"/>
      <c r="H54" s="124"/>
      <c r="I54" s="110"/>
      <c r="J54" s="1"/>
      <c r="K54" s="1"/>
      <c r="L54" s="1"/>
      <c r="M54" s="1"/>
      <c r="N54" s="1"/>
      <c r="O54" s="1"/>
      <c r="P54" s="40"/>
    </row>
    <row r="55" ht="15.75" customHeight="1">
      <c r="A55" s="73"/>
      <c r="B55" s="132" t="s">
        <v>69</v>
      </c>
      <c r="C55" s="122"/>
      <c r="D55" s="84"/>
      <c r="E55" s="123"/>
      <c r="F55" s="86"/>
      <c r="G55" s="84"/>
      <c r="H55" s="124"/>
      <c r="I55" s="59"/>
      <c r="K55" s="60"/>
      <c r="L55" s="60"/>
      <c r="M55" s="60"/>
      <c r="N55" s="60"/>
      <c r="O55" s="60"/>
      <c r="P55" s="40"/>
    </row>
    <row r="56" ht="15.75" customHeight="1">
      <c r="A56" s="73"/>
      <c r="B56" s="121" t="s">
        <v>70</v>
      </c>
      <c r="C56" s="122"/>
      <c r="D56" s="84"/>
      <c r="E56" s="123"/>
      <c r="F56" s="86"/>
      <c r="G56" s="84"/>
      <c r="H56" s="124"/>
      <c r="I56" s="59"/>
      <c r="K56" s="60"/>
      <c r="L56" s="60"/>
      <c r="M56" s="60"/>
      <c r="N56" s="60"/>
      <c r="O56" s="60"/>
      <c r="P56" s="40"/>
    </row>
    <row r="57" ht="15.75" customHeight="1">
      <c r="A57" s="73"/>
      <c r="B57" s="125" t="s">
        <v>71</v>
      </c>
      <c r="C57" s="126"/>
      <c r="D57" s="127"/>
      <c r="E57" s="128"/>
      <c r="F57" s="129"/>
      <c r="G57" s="127"/>
      <c r="H57" s="130"/>
      <c r="I57" s="59"/>
      <c r="J57" s="59"/>
      <c r="K57" s="60"/>
      <c r="L57" s="60"/>
      <c r="M57" s="60"/>
      <c r="N57" s="60"/>
      <c r="O57" s="60"/>
      <c r="P57" s="40"/>
    </row>
    <row r="58" ht="15.75" customHeight="1">
      <c r="A58" s="40"/>
      <c r="B58" s="96"/>
      <c r="C58" s="96"/>
      <c r="D58" s="96"/>
      <c r="E58" s="96"/>
      <c r="F58" s="96"/>
      <c r="G58" s="96"/>
      <c r="H58" s="96"/>
      <c r="I58" s="97"/>
      <c r="J58" s="97"/>
      <c r="K58" s="97"/>
      <c r="L58" s="131"/>
      <c r="M58" s="97"/>
      <c r="N58" s="97"/>
      <c r="O58" s="97"/>
      <c r="P58" s="40"/>
    </row>
    <row r="59" ht="15.75" customHeight="1">
      <c r="A59" s="40"/>
      <c r="B59" s="96"/>
      <c r="C59" s="96"/>
      <c r="D59" s="96"/>
      <c r="E59" s="96"/>
      <c r="F59" s="96"/>
      <c r="G59" s="96"/>
      <c r="H59" s="96"/>
      <c r="I59" s="97"/>
      <c r="J59" s="97"/>
      <c r="K59" s="97"/>
      <c r="L59" s="131"/>
      <c r="M59" s="97"/>
      <c r="N59" s="97"/>
      <c r="O59" s="97"/>
      <c r="P59" s="40"/>
    </row>
  </sheetData>
  <mergeCells count="71">
    <mergeCell ref="B40:J40"/>
    <mergeCell ref="B41:J41"/>
    <mergeCell ref="B42:J42"/>
    <mergeCell ref="B43:J43"/>
    <mergeCell ref="B44:J44"/>
    <mergeCell ref="B45:J45"/>
    <mergeCell ref="B46:J46"/>
    <mergeCell ref="J52:K52"/>
    <mergeCell ref="M52:O52"/>
    <mergeCell ref="M53:O53"/>
    <mergeCell ref="I55:J55"/>
    <mergeCell ref="I56:J56"/>
    <mergeCell ref="B47:J47"/>
    <mergeCell ref="B48:J48"/>
    <mergeCell ref="B49:J49"/>
    <mergeCell ref="J51:K51"/>
    <mergeCell ref="B52:B53"/>
    <mergeCell ref="C52:E52"/>
    <mergeCell ref="F52:H52"/>
    <mergeCell ref="J53:K53"/>
    <mergeCell ref="C1:H1"/>
    <mergeCell ref="I1:O1"/>
    <mergeCell ref="C2:E2"/>
    <mergeCell ref="F2:H2"/>
    <mergeCell ref="I2:J2"/>
    <mergeCell ref="K2:O2"/>
    <mergeCell ref="C3:E3"/>
    <mergeCell ref="K3:O3"/>
    <mergeCell ref="F3:H3"/>
    <mergeCell ref="I3:J3"/>
    <mergeCell ref="C4:E4"/>
    <mergeCell ref="F4:H4"/>
    <mergeCell ref="I4:J4"/>
    <mergeCell ref="K4:O4"/>
    <mergeCell ref="C5:E6"/>
    <mergeCell ref="K5:O6"/>
    <mergeCell ref="F5:H6"/>
    <mergeCell ref="I5:J6"/>
    <mergeCell ref="B7:J7"/>
    <mergeCell ref="B8:J8"/>
    <mergeCell ref="B9:J9"/>
    <mergeCell ref="B10:J10"/>
    <mergeCell ref="B11:J11"/>
    <mergeCell ref="B12:J12"/>
    <mergeCell ref="B13:J13"/>
    <mergeCell ref="B14:J14"/>
    <mergeCell ref="B15:J15"/>
    <mergeCell ref="B16:J16"/>
    <mergeCell ref="B17:J17"/>
    <mergeCell ref="B18:J18"/>
    <mergeCell ref="B19:J19"/>
    <mergeCell ref="B20:J20"/>
    <mergeCell ref="B21:J21"/>
    <mergeCell ref="B22:J22"/>
    <mergeCell ref="B23:J23"/>
    <mergeCell ref="B24:J24"/>
    <mergeCell ref="B25:J25"/>
    <mergeCell ref="B26:J26"/>
    <mergeCell ref="B27:J27"/>
    <mergeCell ref="B28:J28"/>
    <mergeCell ref="B29:J29"/>
    <mergeCell ref="B30:J30"/>
    <mergeCell ref="B31:J31"/>
    <mergeCell ref="B32:J32"/>
    <mergeCell ref="B33:J33"/>
    <mergeCell ref="B34:J34"/>
    <mergeCell ref="B35:J35"/>
    <mergeCell ref="B36:J36"/>
    <mergeCell ref="B37:J37"/>
    <mergeCell ref="B38:J38"/>
    <mergeCell ref="B39:J39"/>
  </mergeCells>
  <dataValidations>
    <dataValidation type="custom" allowBlank="1" showDropDown="1" showInputMessage="1" showErrorMessage="1" prompt="Enter a number" sqref="K8:K48 O8:O49">
      <formula1>ISNUMBER(K8)</formula1>
    </dataValidation>
    <dataValidation type="list" allowBlank="1" showInputMessage="1" showErrorMessage="1" prompt="Click and enter a valid scale from the list of items. The valid scales are Letter, 0-100, 0-4, and None" sqref="B3">
      <formula1>"Letter,0-4,0-100,None"</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8.88"/>
    <col customWidth="1" min="3" max="8" width="6.38"/>
    <col customWidth="1" hidden="1" min="9" max="9" width="18.88"/>
    <col customWidth="1" min="10" max="10" width="18.88"/>
    <col customWidth="1" min="11" max="11" width="6.38"/>
    <col customWidth="1" hidden="1" min="12" max="12" width="18.88"/>
    <col customWidth="1" min="13" max="13" width="6.38"/>
    <col customWidth="1" hidden="1" min="14" max="14" width="6.38"/>
    <col customWidth="1" min="15" max="15" width="6.38"/>
  </cols>
  <sheetData>
    <row r="1" ht="15.75" customHeight="1">
      <c r="A1" s="58"/>
      <c r="C1" s="71" t="s">
        <v>5</v>
      </c>
      <c r="I1" s="58" t="s">
        <v>6</v>
      </c>
      <c r="P1" s="72"/>
    </row>
    <row r="2" ht="15.75" customHeight="1">
      <c r="A2" s="58"/>
      <c r="B2" s="74" t="s">
        <v>50</v>
      </c>
      <c r="P2" s="72"/>
    </row>
    <row r="3" ht="15.75" customHeight="1">
      <c r="A3" s="73"/>
      <c r="B3" s="75" t="s">
        <v>51</v>
      </c>
      <c r="C3" s="59" t="s">
        <v>8</v>
      </c>
      <c r="F3" s="60" t="str">
        <f>'Getting Started'!$G$10</f>
        <v/>
      </c>
      <c r="I3" s="59" t="s">
        <v>9</v>
      </c>
      <c r="K3" s="60" t="str">
        <f>'Getting Started'!$I$10</f>
        <v/>
      </c>
      <c r="P3" s="40"/>
    </row>
    <row r="4" ht="15.75" customHeight="1">
      <c r="A4" s="73"/>
      <c r="B4" s="133" t="s">
        <v>72</v>
      </c>
      <c r="C4" s="59" t="s">
        <v>11</v>
      </c>
      <c r="F4" s="61" t="str">
        <f>'Getting Started'!$G$11</f>
        <v/>
      </c>
      <c r="I4" s="59" t="s">
        <v>12</v>
      </c>
      <c r="K4" s="60" t="str">
        <f>'Getting Started'!$I$11</f>
        <v/>
      </c>
      <c r="P4" s="40"/>
    </row>
    <row r="5" ht="15.75" customHeight="1">
      <c r="A5" s="73"/>
      <c r="B5" s="40" t="str">
        <f>J55</f>
        <v>Loading...</v>
      </c>
      <c r="C5" s="59" t="s">
        <v>13</v>
      </c>
      <c r="F5" s="60" t="str">
        <f>'Getting Started'!$G$12</f>
        <v/>
      </c>
      <c r="I5" s="59" t="s">
        <v>14</v>
      </c>
      <c r="K5" s="60" t="str">
        <f>'Getting Started'!$I$12</f>
        <v/>
      </c>
      <c r="P5" s="40"/>
    </row>
    <row r="6" ht="15.75" customHeight="1">
      <c r="A6" s="73"/>
      <c r="B6" s="133" t="s">
        <v>64</v>
      </c>
      <c r="P6" s="40"/>
    </row>
    <row r="7" ht="15.75" customHeight="1">
      <c r="A7" s="73"/>
      <c r="B7" s="40" t="str">
        <f>M55</f>
        <v>Loading...</v>
      </c>
      <c r="C7" s="59" t="s">
        <v>15</v>
      </c>
      <c r="F7" s="62" t="str">
        <f>'Getting Started'!$G$14</f>
        <v/>
      </c>
      <c r="I7" s="59" t="s">
        <v>16</v>
      </c>
      <c r="K7" s="60" t="str">
        <f>'Getting Started'!$I$14</f>
        <v/>
      </c>
      <c r="P7" s="40"/>
    </row>
    <row r="8" ht="15.75" customHeight="1">
      <c r="A8" s="73"/>
      <c r="B8" s="19" t="s">
        <v>52</v>
      </c>
      <c r="P8" s="40"/>
    </row>
    <row r="9" ht="31.5" customHeight="1">
      <c r="A9" s="40"/>
      <c r="B9" s="76" t="s">
        <v>53</v>
      </c>
      <c r="C9" s="8"/>
      <c r="D9" s="8"/>
      <c r="E9" s="8"/>
      <c r="F9" s="8"/>
      <c r="G9" s="8"/>
      <c r="H9" s="8"/>
      <c r="I9" s="8"/>
      <c r="J9" s="77"/>
      <c r="K9" s="78" t="s">
        <v>54</v>
      </c>
      <c r="L9" s="79" t="s">
        <v>55</v>
      </c>
      <c r="M9" s="80" t="s">
        <v>56</v>
      </c>
      <c r="N9" s="81"/>
      <c r="O9" s="82" t="s">
        <v>57</v>
      </c>
      <c r="P9" s="1"/>
    </row>
    <row r="10" ht="15.75" customHeight="1">
      <c r="A10" s="40"/>
      <c r="B10" s="83"/>
      <c r="J10" s="47"/>
      <c r="K10" s="84"/>
      <c r="L10" s="85"/>
      <c r="M10" s="86"/>
      <c r="N10" s="87"/>
      <c r="O10" s="88"/>
      <c r="P10" s="1"/>
    </row>
    <row r="11" ht="15.75" customHeight="1">
      <c r="A11" s="40"/>
      <c r="B11" s="83"/>
      <c r="J11" s="47"/>
      <c r="K11" s="84"/>
      <c r="L11" s="85" t="b">
        <v>0</v>
      </c>
      <c r="M11" s="86"/>
      <c r="N11" s="87"/>
      <c r="O11" s="88"/>
      <c r="P11" s="1"/>
    </row>
    <row r="12" ht="15.75" customHeight="1">
      <c r="A12" s="40"/>
      <c r="B12" s="83"/>
      <c r="J12" s="47"/>
      <c r="K12" s="84"/>
      <c r="L12" s="85" t="b">
        <v>0</v>
      </c>
      <c r="M12" s="86"/>
      <c r="N12" s="87"/>
      <c r="O12" s="88"/>
      <c r="P12" s="1"/>
    </row>
    <row r="13" ht="15.75" customHeight="1">
      <c r="A13" s="40"/>
      <c r="B13" s="83"/>
      <c r="J13" s="47"/>
      <c r="K13" s="84"/>
      <c r="L13" s="85" t="b">
        <v>0</v>
      </c>
      <c r="M13" s="86"/>
      <c r="N13" s="87"/>
      <c r="O13" s="88"/>
      <c r="P13" s="1"/>
    </row>
    <row r="14" ht="15.75" customHeight="1">
      <c r="A14" s="40"/>
      <c r="B14" s="83"/>
      <c r="J14" s="47"/>
      <c r="K14" s="84"/>
      <c r="L14" s="85" t="b">
        <v>0</v>
      </c>
      <c r="M14" s="86"/>
      <c r="N14" s="87"/>
      <c r="O14" s="88"/>
      <c r="P14" s="1"/>
    </row>
    <row r="15" ht="15.75" customHeight="1">
      <c r="A15" s="40"/>
      <c r="B15" s="83"/>
      <c r="J15" s="47"/>
      <c r="K15" s="84"/>
      <c r="L15" s="85" t="b">
        <v>0</v>
      </c>
      <c r="M15" s="86"/>
      <c r="N15" s="87"/>
      <c r="O15" s="88"/>
      <c r="P15" s="1"/>
    </row>
    <row r="16" ht="15.75" customHeight="1">
      <c r="A16" s="40"/>
      <c r="B16" s="83"/>
      <c r="J16" s="47"/>
      <c r="K16" s="84"/>
      <c r="L16" s="85" t="b">
        <v>0</v>
      </c>
      <c r="M16" s="86"/>
      <c r="N16" s="87"/>
      <c r="O16" s="88"/>
      <c r="P16" s="1"/>
    </row>
    <row r="17" ht="15.75" customHeight="1">
      <c r="A17" s="40"/>
      <c r="B17" s="83"/>
      <c r="J17" s="47"/>
      <c r="K17" s="84"/>
      <c r="L17" s="85" t="b">
        <v>0</v>
      </c>
      <c r="M17" s="86"/>
      <c r="N17" s="87"/>
      <c r="O17" s="88"/>
      <c r="P17" s="1"/>
    </row>
    <row r="18" ht="15.75" customHeight="1">
      <c r="A18" s="40"/>
      <c r="B18" s="83"/>
      <c r="J18" s="47"/>
      <c r="K18" s="84"/>
      <c r="L18" s="85" t="b">
        <v>0</v>
      </c>
      <c r="M18" s="86"/>
      <c r="N18" s="87"/>
      <c r="O18" s="88"/>
      <c r="P18" s="1"/>
    </row>
    <row r="19" ht="15.75" customHeight="1">
      <c r="A19" s="40"/>
      <c r="B19" s="83"/>
      <c r="J19" s="47"/>
      <c r="K19" s="84"/>
      <c r="L19" s="85" t="b">
        <v>0</v>
      </c>
      <c r="M19" s="86"/>
      <c r="N19" s="87"/>
      <c r="O19" s="88"/>
      <c r="P19" s="1"/>
    </row>
    <row r="20" ht="15.75" customHeight="1">
      <c r="A20" s="40"/>
      <c r="B20" s="83"/>
      <c r="J20" s="47"/>
      <c r="K20" s="84"/>
      <c r="L20" s="85" t="b">
        <v>0</v>
      </c>
      <c r="M20" s="86"/>
      <c r="N20" s="87"/>
      <c r="O20" s="88"/>
      <c r="P20" s="1"/>
    </row>
    <row r="21" ht="15.75" customHeight="1">
      <c r="A21" s="40"/>
      <c r="B21" s="83"/>
      <c r="J21" s="47"/>
      <c r="K21" s="84"/>
      <c r="L21" s="85" t="b">
        <v>0</v>
      </c>
      <c r="M21" s="86"/>
      <c r="N21" s="87"/>
      <c r="O21" s="88"/>
      <c r="P21" s="1"/>
    </row>
    <row r="22" ht="15.75" customHeight="1">
      <c r="A22" s="40"/>
      <c r="B22" s="83"/>
      <c r="J22" s="47"/>
      <c r="K22" s="84"/>
      <c r="L22" s="85" t="b">
        <v>0</v>
      </c>
      <c r="M22" s="86"/>
      <c r="N22" s="87"/>
      <c r="O22" s="88"/>
      <c r="P22" s="1"/>
    </row>
    <row r="23" ht="15.75" customHeight="1">
      <c r="A23" s="40"/>
      <c r="B23" s="83"/>
      <c r="J23" s="47"/>
      <c r="K23" s="84"/>
      <c r="L23" s="85" t="b">
        <v>0</v>
      </c>
      <c r="M23" s="86"/>
      <c r="N23" s="87"/>
      <c r="O23" s="88"/>
      <c r="P23" s="1"/>
    </row>
    <row r="24" ht="15.75" customHeight="1">
      <c r="A24" s="40"/>
      <c r="B24" s="83"/>
      <c r="J24" s="47"/>
      <c r="K24" s="84"/>
      <c r="L24" s="85" t="b">
        <v>0</v>
      </c>
      <c r="M24" s="86"/>
      <c r="N24" s="87"/>
      <c r="O24" s="88"/>
      <c r="P24" s="1"/>
    </row>
    <row r="25" ht="15.75" customHeight="1">
      <c r="A25" s="40"/>
      <c r="B25" s="83"/>
      <c r="J25" s="47"/>
      <c r="K25" s="84"/>
      <c r="L25" s="85" t="b">
        <v>0</v>
      </c>
      <c r="M25" s="86"/>
      <c r="N25" s="87"/>
      <c r="O25" s="88"/>
      <c r="P25" s="1"/>
    </row>
    <row r="26" ht="15.75" customHeight="1">
      <c r="A26" s="40"/>
      <c r="B26" s="83"/>
      <c r="J26" s="47"/>
      <c r="K26" s="84"/>
      <c r="L26" s="85" t="b">
        <v>0</v>
      </c>
      <c r="M26" s="86"/>
      <c r="N26" s="87"/>
      <c r="O26" s="88"/>
      <c r="P26" s="1"/>
    </row>
    <row r="27" ht="15.75" customHeight="1">
      <c r="A27" s="40"/>
      <c r="B27" s="83"/>
      <c r="J27" s="47"/>
      <c r="K27" s="84"/>
      <c r="L27" s="85" t="b">
        <v>0</v>
      </c>
      <c r="M27" s="86"/>
      <c r="N27" s="87"/>
      <c r="O27" s="88"/>
      <c r="P27" s="1"/>
    </row>
    <row r="28" ht="15.75" customHeight="1">
      <c r="A28" s="40"/>
      <c r="B28" s="83"/>
      <c r="J28" s="47"/>
      <c r="K28" s="84"/>
      <c r="L28" s="85" t="b">
        <v>0</v>
      </c>
      <c r="M28" s="86"/>
      <c r="N28" s="87"/>
      <c r="O28" s="88"/>
      <c r="P28" s="1"/>
    </row>
    <row r="29" ht="15.75" customHeight="1">
      <c r="A29" s="40"/>
      <c r="B29" s="83"/>
      <c r="J29" s="47"/>
      <c r="K29" s="84"/>
      <c r="L29" s="85" t="b">
        <v>0</v>
      </c>
      <c r="M29" s="86"/>
      <c r="N29" s="87"/>
      <c r="O29" s="88"/>
      <c r="P29" s="1"/>
    </row>
    <row r="30" ht="15.75" customHeight="1">
      <c r="A30" s="40"/>
      <c r="B30" s="83"/>
      <c r="J30" s="47"/>
      <c r="K30" s="84"/>
      <c r="L30" s="85" t="b">
        <v>0</v>
      </c>
      <c r="M30" s="86"/>
      <c r="N30" s="87"/>
      <c r="O30" s="88"/>
      <c r="P30" s="1"/>
    </row>
    <row r="31" ht="15.75" customHeight="1">
      <c r="A31" s="40"/>
      <c r="B31" s="83"/>
      <c r="J31" s="47"/>
      <c r="K31" s="84"/>
      <c r="L31" s="85" t="b">
        <v>0</v>
      </c>
      <c r="M31" s="86"/>
      <c r="N31" s="87"/>
      <c r="O31" s="88"/>
      <c r="P31" s="1"/>
    </row>
    <row r="32" ht="15.75" customHeight="1">
      <c r="A32" s="40"/>
      <c r="B32" s="83"/>
      <c r="J32" s="47"/>
      <c r="K32" s="84"/>
      <c r="L32" s="85" t="b">
        <v>0</v>
      </c>
      <c r="M32" s="86"/>
      <c r="N32" s="87"/>
      <c r="O32" s="88"/>
      <c r="P32" s="1"/>
    </row>
    <row r="33" ht="15.75" customHeight="1">
      <c r="A33" s="40"/>
      <c r="B33" s="83"/>
      <c r="J33" s="47"/>
      <c r="K33" s="84"/>
      <c r="L33" s="85" t="b">
        <v>0</v>
      </c>
      <c r="M33" s="86"/>
      <c r="N33" s="87"/>
      <c r="O33" s="88"/>
      <c r="P33" s="1"/>
    </row>
    <row r="34" ht="15.75" customHeight="1">
      <c r="A34" s="40"/>
      <c r="B34" s="83"/>
      <c r="J34" s="47"/>
      <c r="K34" s="84"/>
      <c r="L34" s="85" t="b">
        <v>0</v>
      </c>
      <c r="M34" s="86"/>
      <c r="N34" s="87"/>
      <c r="O34" s="88"/>
      <c r="P34" s="1"/>
    </row>
    <row r="35" ht="15.75" customHeight="1">
      <c r="A35" s="40"/>
      <c r="B35" s="83"/>
      <c r="J35" s="47"/>
      <c r="K35" s="84"/>
      <c r="L35" s="85" t="b">
        <v>0</v>
      </c>
      <c r="M35" s="86"/>
      <c r="N35" s="87"/>
      <c r="O35" s="88"/>
      <c r="P35" s="1"/>
    </row>
    <row r="36" ht="15.75" customHeight="1">
      <c r="A36" s="40"/>
      <c r="B36" s="83"/>
      <c r="J36" s="47"/>
      <c r="K36" s="84"/>
      <c r="L36" s="85" t="b">
        <v>0</v>
      </c>
      <c r="M36" s="86"/>
      <c r="N36" s="87"/>
      <c r="O36" s="88"/>
      <c r="P36" s="1"/>
    </row>
    <row r="37" ht="15.75" customHeight="1">
      <c r="A37" s="40"/>
      <c r="B37" s="83"/>
      <c r="J37" s="47"/>
      <c r="K37" s="84"/>
      <c r="L37" s="85" t="b">
        <v>0</v>
      </c>
      <c r="M37" s="86"/>
      <c r="N37" s="87"/>
      <c r="O37" s="88"/>
      <c r="P37" s="1"/>
    </row>
    <row r="38" ht="15.75" customHeight="1">
      <c r="A38" s="40"/>
      <c r="B38" s="83"/>
      <c r="J38" s="47"/>
      <c r="K38" s="84"/>
      <c r="L38" s="85" t="b">
        <v>0</v>
      </c>
      <c r="M38" s="86"/>
      <c r="N38" s="87"/>
      <c r="O38" s="88"/>
      <c r="P38" s="1"/>
    </row>
    <row r="39" ht="15.75" customHeight="1">
      <c r="A39" s="40"/>
      <c r="B39" s="83"/>
      <c r="J39" s="47"/>
      <c r="K39" s="84"/>
      <c r="L39" s="85" t="b">
        <v>0</v>
      </c>
      <c r="M39" s="86"/>
      <c r="N39" s="87"/>
      <c r="O39" s="88"/>
      <c r="P39" s="1"/>
    </row>
    <row r="40" ht="15.75" customHeight="1">
      <c r="A40" s="40"/>
      <c r="B40" s="83"/>
      <c r="J40" s="47"/>
      <c r="K40" s="84"/>
      <c r="L40" s="85" t="b">
        <v>0</v>
      </c>
      <c r="M40" s="86"/>
      <c r="N40" s="87"/>
      <c r="O40" s="88"/>
      <c r="P40" s="1"/>
    </row>
    <row r="41" ht="15.75" customHeight="1">
      <c r="A41" s="40"/>
      <c r="B41" s="83"/>
      <c r="J41" s="47"/>
      <c r="K41" s="84"/>
      <c r="L41" s="85" t="b">
        <v>0</v>
      </c>
      <c r="M41" s="86"/>
      <c r="N41" s="87"/>
      <c r="O41" s="88"/>
      <c r="P41" s="1"/>
    </row>
    <row r="42" ht="15.75" customHeight="1">
      <c r="A42" s="40"/>
      <c r="B42" s="83"/>
      <c r="J42" s="47"/>
      <c r="K42" s="84"/>
      <c r="L42" s="85" t="b">
        <v>0</v>
      </c>
      <c r="M42" s="86"/>
      <c r="N42" s="87"/>
      <c r="O42" s="88"/>
      <c r="P42" s="1"/>
    </row>
    <row r="43" ht="15.75" customHeight="1">
      <c r="A43" s="40"/>
      <c r="B43" s="83"/>
      <c r="J43" s="47"/>
      <c r="K43" s="84"/>
      <c r="L43" s="85" t="b">
        <v>0</v>
      </c>
      <c r="M43" s="86"/>
      <c r="N43" s="87"/>
      <c r="O43" s="88"/>
      <c r="P43" s="1"/>
    </row>
    <row r="44" ht="15.75" customHeight="1">
      <c r="A44" s="40"/>
      <c r="B44" s="83"/>
      <c r="J44" s="47"/>
      <c r="K44" s="84"/>
      <c r="L44" s="85" t="b">
        <v>0</v>
      </c>
      <c r="M44" s="86"/>
      <c r="N44" s="87"/>
      <c r="O44" s="88"/>
      <c r="P44" s="1"/>
    </row>
    <row r="45" ht="15.75" customHeight="1">
      <c r="A45" s="40"/>
      <c r="B45" s="83"/>
      <c r="J45" s="47"/>
      <c r="K45" s="84"/>
      <c r="L45" s="85" t="b">
        <v>0</v>
      </c>
      <c r="M45" s="86"/>
      <c r="N45" s="87"/>
      <c r="O45" s="88"/>
      <c r="P45" s="1"/>
    </row>
    <row r="46" ht="15.75" customHeight="1">
      <c r="A46" s="40"/>
      <c r="B46" s="83"/>
      <c r="J46" s="47"/>
      <c r="K46" s="84"/>
      <c r="L46" s="85" t="b">
        <v>0</v>
      </c>
      <c r="M46" s="86"/>
      <c r="N46" s="87"/>
      <c r="O46" s="88"/>
      <c r="P46" s="1"/>
    </row>
    <row r="47" ht="15.75" customHeight="1">
      <c r="A47" s="40"/>
      <c r="B47" s="83"/>
      <c r="J47" s="47"/>
      <c r="K47" s="84"/>
      <c r="L47" s="85" t="b">
        <v>0</v>
      </c>
      <c r="M47" s="86"/>
      <c r="N47" s="87"/>
      <c r="O47" s="88"/>
      <c r="P47" s="1"/>
    </row>
    <row r="48" ht="15.75" customHeight="1">
      <c r="A48" s="40"/>
      <c r="B48" s="83"/>
      <c r="J48" s="47"/>
      <c r="K48" s="84"/>
      <c r="L48" s="85" t="b">
        <v>0</v>
      </c>
      <c r="M48" s="86"/>
      <c r="N48" s="87"/>
      <c r="O48" s="88"/>
      <c r="P48" s="1"/>
    </row>
    <row r="49" ht="15.75" customHeight="1">
      <c r="A49" s="40"/>
      <c r="B49" s="83"/>
      <c r="J49" s="47"/>
      <c r="K49" s="84"/>
      <c r="L49" s="85" t="b">
        <v>0</v>
      </c>
      <c r="M49" s="86"/>
      <c r="N49" s="87"/>
      <c r="O49" s="88"/>
      <c r="P49" s="1"/>
    </row>
    <row r="50" ht="15.75" customHeight="1">
      <c r="A50" s="40"/>
      <c r="B50" s="83"/>
      <c r="J50" s="47"/>
      <c r="K50" s="84"/>
      <c r="L50" s="85" t="b">
        <v>0</v>
      </c>
      <c r="M50" s="86"/>
      <c r="N50" s="87"/>
      <c r="O50" s="88"/>
      <c r="P50" s="1"/>
    </row>
    <row r="51" ht="15.75" customHeight="1">
      <c r="A51" s="40"/>
      <c r="B51" s="89"/>
      <c r="C51" s="16"/>
      <c r="D51" s="16"/>
      <c r="E51" s="16"/>
      <c r="F51" s="16"/>
      <c r="G51" s="16"/>
      <c r="H51" s="16"/>
      <c r="I51" s="16"/>
      <c r="J51" s="90"/>
      <c r="K51" s="91"/>
      <c r="L51" s="92" t="b">
        <v>0</v>
      </c>
      <c r="M51" s="93"/>
      <c r="N51" s="94"/>
      <c r="O51" s="95"/>
      <c r="P51" s="40"/>
    </row>
    <row r="52" ht="15.75" customHeight="1">
      <c r="A52" s="40"/>
      <c r="B52" s="96"/>
      <c r="C52" s="96"/>
      <c r="D52" s="96"/>
      <c r="E52" s="96"/>
      <c r="F52" s="96"/>
      <c r="G52" s="96"/>
      <c r="H52" s="96"/>
      <c r="I52" s="1"/>
      <c r="J52" s="1"/>
      <c r="K52" s="1"/>
      <c r="L52" s="1"/>
      <c r="M52" s="1"/>
      <c r="N52" s="97"/>
      <c r="O52" s="97"/>
      <c r="P52" s="40"/>
    </row>
    <row r="53" ht="15.75" customHeight="1">
      <c r="A53" s="40"/>
      <c r="B53" s="98" t="s">
        <v>58</v>
      </c>
      <c r="C53" s="99"/>
      <c r="D53" s="99"/>
      <c r="E53" s="99"/>
      <c r="F53" s="99"/>
      <c r="G53" s="99"/>
      <c r="H53" s="99"/>
      <c r="I53" s="100"/>
      <c r="J53" s="101" t="s">
        <v>59</v>
      </c>
      <c r="K53" s="102"/>
      <c r="L53" s="1"/>
      <c r="M53" s="1"/>
      <c r="N53" s="97"/>
      <c r="O53" s="97"/>
      <c r="P53" s="40"/>
    </row>
    <row r="54" ht="15.75" customHeight="1">
      <c r="A54" s="40"/>
      <c r="B54" s="103" t="s">
        <v>60</v>
      </c>
      <c r="C54" s="104" t="s">
        <v>61</v>
      </c>
      <c r="D54" s="105"/>
      <c r="E54" s="106"/>
      <c r="F54" s="104" t="s">
        <v>62</v>
      </c>
      <c r="G54" s="105"/>
      <c r="H54" s="107"/>
      <c r="I54" s="100"/>
      <c r="J54" s="108" t="s">
        <v>63</v>
      </c>
      <c r="K54" s="109"/>
      <c r="L54" s="110"/>
      <c r="M54" s="111" t="s">
        <v>64</v>
      </c>
      <c r="N54" s="109"/>
      <c r="O54" s="102"/>
      <c r="P54" s="40"/>
    </row>
    <row r="55" ht="15.75" customHeight="1">
      <c r="A55" s="40"/>
      <c r="B55" s="112"/>
      <c r="C55" s="113" t="s">
        <v>65</v>
      </c>
      <c r="D55" s="114" t="s">
        <v>66</v>
      </c>
      <c r="E55" s="115" t="s">
        <v>67</v>
      </c>
      <c r="F55" s="113" t="s">
        <v>65</v>
      </c>
      <c r="G55" s="114" t="s">
        <v>66</v>
      </c>
      <c r="H55" s="116" t="s">
        <v>67</v>
      </c>
      <c r="I55" s="110"/>
      <c r="J55" s="117" t="str">
        <f t="array" ref="J55">GPA({$K$10:$K$51,$M$10:$M$51,$O$10:$O$51},1,2)</f>
        <v>Loading...</v>
      </c>
      <c r="K55" s="118"/>
      <c r="L55" s="110"/>
      <c r="M55" s="119" t="str">
        <f t="array" ref="M55">CREDITSSUM({$K$10:$K$51,$M$10:$M$51},1,2)</f>
        <v>Loading...</v>
      </c>
      <c r="N55" s="118"/>
      <c r="O55" s="120"/>
      <c r="P55" s="40"/>
    </row>
    <row r="56" ht="15.75" customHeight="1">
      <c r="A56" s="40"/>
      <c r="B56" s="132" t="s">
        <v>68</v>
      </c>
      <c r="C56" s="122"/>
      <c r="D56" s="84"/>
      <c r="E56" s="123"/>
      <c r="F56" s="86"/>
      <c r="G56" s="84"/>
      <c r="H56" s="124"/>
      <c r="I56" s="134" t="s">
        <v>73</v>
      </c>
      <c r="J56" s="135"/>
      <c r="K56" s="1"/>
      <c r="L56" s="1"/>
      <c r="M56" s="1"/>
      <c r="N56" s="1"/>
      <c r="O56" s="1"/>
      <c r="P56" s="40"/>
    </row>
    <row r="57" ht="15.75" customHeight="1">
      <c r="A57" s="73"/>
      <c r="B57" s="132" t="s">
        <v>69</v>
      </c>
      <c r="C57" s="122"/>
      <c r="D57" s="84"/>
      <c r="E57" s="123"/>
      <c r="F57" s="86"/>
      <c r="G57" s="84"/>
      <c r="H57" s="124"/>
      <c r="I57" s="136"/>
      <c r="J57" s="137"/>
      <c r="K57" s="137"/>
      <c r="L57" s="137"/>
      <c r="M57" s="137"/>
      <c r="N57" s="137"/>
      <c r="O57" s="138"/>
      <c r="P57" s="40"/>
    </row>
    <row r="58" ht="15.75" customHeight="1">
      <c r="A58" s="73"/>
      <c r="B58" s="121" t="s">
        <v>70</v>
      </c>
      <c r="C58" s="122"/>
      <c r="D58" s="84"/>
      <c r="E58" s="123"/>
      <c r="F58" s="86"/>
      <c r="G58" s="84"/>
      <c r="H58" s="124"/>
      <c r="O58" s="139"/>
      <c r="P58" s="40"/>
    </row>
    <row r="59" ht="15.75" customHeight="1">
      <c r="A59" s="73"/>
      <c r="B59" s="125" t="s">
        <v>71</v>
      </c>
      <c r="C59" s="126"/>
      <c r="D59" s="127"/>
      <c r="E59" s="128"/>
      <c r="F59" s="129"/>
      <c r="G59" s="127"/>
      <c r="H59" s="130"/>
      <c r="I59" s="140"/>
      <c r="J59" s="140"/>
      <c r="K59" s="140"/>
      <c r="L59" s="140"/>
      <c r="M59" s="140"/>
      <c r="N59" s="140"/>
      <c r="O59" s="135"/>
      <c r="P59" s="40"/>
    </row>
    <row r="60" ht="15.75" customHeight="1">
      <c r="A60" s="40"/>
      <c r="B60" s="96"/>
      <c r="C60" s="96"/>
      <c r="D60" s="96"/>
      <c r="E60" s="96"/>
      <c r="F60" s="96"/>
      <c r="G60" s="96"/>
      <c r="H60" s="96"/>
      <c r="I60" s="97"/>
      <c r="J60" s="97"/>
      <c r="K60" s="97"/>
      <c r="L60" s="131"/>
      <c r="M60" s="97"/>
      <c r="N60" s="97"/>
      <c r="O60" s="97"/>
      <c r="P60" s="40"/>
    </row>
    <row r="61" ht="15.75" customHeight="1">
      <c r="A61" s="40"/>
      <c r="B61" s="96"/>
      <c r="C61" s="96"/>
      <c r="D61" s="96"/>
      <c r="E61" s="96"/>
      <c r="F61" s="96"/>
      <c r="G61" s="96"/>
      <c r="H61" s="96"/>
      <c r="I61" s="97"/>
      <c r="J61" s="97"/>
      <c r="K61" s="97"/>
      <c r="L61" s="131"/>
      <c r="M61" s="97"/>
      <c r="N61" s="97"/>
      <c r="O61" s="97"/>
      <c r="P61" s="40"/>
    </row>
  </sheetData>
  <mergeCells count="71">
    <mergeCell ref="B42:J42"/>
    <mergeCell ref="B43:J43"/>
    <mergeCell ref="B44:J44"/>
    <mergeCell ref="B45:J45"/>
    <mergeCell ref="B46:J46"/>
    <mergeCell ref="B47:J47"/>
    <mergeCell ref="B48:J48"/>
    <mergeCell ref="J54:K54"/>
    <mergeCell ref="M54:O54"/>
    <mergeCell ref="M55:O55"/>
    <mergeCell ref="I56:J56"/>
    <mergeCell ref="I57:O59"/>
    <mergeCell ref="B49:J49"/>
    <mergeCell ref="B50:J50"/>
    <mergeCell ref="B51:J51"/>
    <mergeCell ref="J53:K53"/>
    <mergeCell ref="B54:B55"/>
    <mergeCell ref="C54:E54"/>
    <mergeCell ref="F54:H54"/>
    <mergeCell ref="J55:K55"/>
    <mergeCell ref="C1:H2"/>
    <mergeCell ref="I1:O2"/>
    <mergeCell ref="C3:E3"/>
    <mergeCell ref="F3:H3"/>
    <mergeCell ref="I3:J3"/>
    <mergeCell ref="K3:O3"/>
    <mergeCell ref="C4:E4"/>
    <mergeCell ref="K4:O4"/>
    <mergeCell ref="F4:H4"/>
    <mergeCell ref="I4:J4"/>
    <mergeCell ref="C5:E6"/>
    <mergeCell ref="F5:H6"/>
    <mergeCell ref="I5:J6"/>
    <mergeCell ref="K5:O6"/>
    <mergeCell ref="C7:E8"/>
    <mergeCell ref="K7:O8"/>
    <mergeCell ref="F7:H8"/>
    <mergeCell ref="I7:J8"/>
    <mergeCell ref="B9:J9"/>
    <mergeCell ref="B10:J10"/>
    <mergeCell ref="B11:J11"/>
    <mergeCell ref="B12:J12"/>
    <mergeCell ref="B13:J13"/>
    <mergeCell ref="B14:J14"/>
    <mergeCell ref="B15:J15"/>
    <mergeCell ref="B16:J16"/>
    <mergeCell ref="B17:J17"/>
    <mergeCell ref="B18:J18"/>
    <mergeCell ref="B19:J19"/>
    <mergeCell ref="B20:J20"/>
    <mergeCell ref="B21:J21"/>
    <mergeCell ref="B22:J22"/>
    <mergeCell ref="B23:J23"/>
    <mergeCell ref="B24:J24"/>
    <mergeCell ref="B25:J25"/>
    <mergeCell ref="B26:J26"/>
    <mergeCell ref="B27:J27"/>
    <mergeCell ref="B28:J28"/>
    <mergeCell ref="B29:J29"/>
    <mergeCell ref="B30:J30"/>
    <mergeCell ref="B31:J31"/>
    <mergeCell ref="B32:J32"/>
    <mergeCell ref="B33:J33"/>
    <mergeCell ref="B34:J34"/>
    <mergeCell ref="B35:J35"/>
    <mergeCell ref="B36:J36"/>
    <mergeCell ref="B37:J37"/>
    <mergeCell ref="B38:J38"/>
    <mergeCell ref="B39:J39"/>
    <mergeCell ref="B40:J40"/>
    <mergeCell ref="B41:J41"/>
  </mergeCells>
  <dataValidations>
    <dataValidation type="custom" allowBlank="1" showDropDown="1" showInputMessage="1" showErrorMessage="1" prompt="Enter a number" sqref="K10:K50 O10:O51">
      <formula1>ISNUMBER(K10)</formula1>
    </dataValidation>
    <dataValidation type="list" allowBlank="1" showInputMessage="1" showErrorMessage="1" prompt="Click and enter a valid scale from the list of items. The valid scales are Letter, 0-100, 0-4, and None" sqref="B3">
      <formula1>"Letter,0-4,0-100,None"</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8.88"/>
    <col customWidth="1" min="3" max="8" width="6.38"/>
    <col customWidth="1" hidden="1" min="9" max="9" width="18.88"/>
    <col customWidth="1" min="10" max="10" width="18.88"/>
    <col customWidth="1" min="11" max="11" width="6.38"/>
    <col customWidth="1" hidden="1" min="12" max="12" width="18.88"/>
    <col customWidth="1" min="13" max="13" width="6.38"/>
    <col customWidth="1" hidden="1" min="14" max="14" width="6.38"/>
    <col customWidth="1" min="15" max="15" width="6.38"/>
  </cols>
  <sheetData>
    <row r="1" ht="15.75" customHeight="1">
      <c r="A1" s="58"/>
      <c r="B1" s="1"/>
      <c r="C1" s="71" t="s">
        <v>5</v>
      </c>
      <c r="I1" s="58" t="s">
        <v>6</v>
      </c>
      <c r="P1" s="72"/>
    </row>
    <row r="2" ht="15.75" customHeight="1">
      <c r="A2" s="58"/>
      <c r="B2" s="74" t="s">
        <v>50</v>
      </c>
      <c r="P2" s="72"/>
    </row>
    <row r="3" ht="15.75" customHeight="1">
      <c r="A3" s="73"/>
      <c r="B3" s="75" t="s">
        <v>51</v>
      </c>
      <c r="C3" s="59" t="s">
        <v>8</v>
      </c>
      <c r="F3" s="60" t="str">
        <f>'Getting Started'!$G$10</f>
        <v/>
      </c>
      <c r="I3" s="59" t="s">
        <v>9</v>
      </c>
      <c r="K3" s="60" t="str">
        <f>'Getting Started'!$I$10</f>
        <v/>
      </c>
      <c r="P3" s="40"/>
    </row>
    <row r="4" ht="15.75" customHeight="1">
      <c r="A4" s="73"/>
      <c r="B4" s="133" t="s">
        <v>72</v>
      </c>
      <c r="C4" s="59" t="s">
        <v>11</v>
      </c>
      <c r="F4" s="61" t="str">
        <f>'Getting Started'!$G$11</f>
        <v/>
      </c>
      <c r="I4" s="59" t="s">
        <v>12</v>
      </c>
      <c r="K4" s="60" t="str">
        <f>'Getting Started'!$I$11</f>
        <v/>
      </c>
      <c r="P4" s="40"/>
    </row>
    <row r="5" ht="15.75" customHeight="1">
      <c r="A5" s="73"/>
      <c r="B5" s="40" t="str">
        <f t="array" ref="B5">GPA({'9th Grade (Year)'!$K$10:$K$51,'9th Grade (Year)'!$M$10:$M$51,'9th Grade (Year)'!$O$10:$O$51;$K$10:$K$51,$M$10:$M$51,$O$10:$O$51},1,2)</f>
        <v>Loading...</v>
      </c>
      <c r="C5" s="59" t="s">
        <v>13</v>
      </c>
      <c r="F5" s="60" t="str">
        <f>'Getting Started'!$G$12</f>
        <v/>
      </c>
      <c r="I5" s="59" t="s">
        <v>14</v>
      </c>
      <c r="K5" s="60" t="str">
        <f>'Getting Started'!$I$12</f>
        <v/>
      </c>
      <c r="P5" s="40"/>
    </row>
    <row r="6" ht="15.75" customHeight="1">
      <c r="A6" s="73"/>
      <c r="B6" s="133" t="s">
        <v>64</v>
      </c>
      <c r="P6" s="40"/>
    </row>
    <row r="7" ht="15.75" customHeight="1">
      <c r="A7" s="73"/>
      <c r="B7" s="40" t="str">
        <f>IF('9th Grade (Year)'!B7+M55 = 0, "", '9th Grade (Year)'!B7+M55)</f>
        <v>Loading...</v>
      </c>
      <c r="C7" s="59" t="s">
        <v>15</v>
      </c>
      <c r="F7" s="62" t="str">
        <f>'Getting Started'!$G$14</f>
        <v/>
      </c>
      <c r="I7" s="59" t="s">
        <v>16</v>
      </c>
      <c r="K7" s="60" t="str">
        <f>'Getting Started'!$I$14</f>
        <v/>
      </c>
      <c r="P7" s="40"/>
    </row>
    <row r="8" ht="15.75" customHeight="1">
      <c r="A8" s="73"/>
      <c r="B8" s="19" t="s">
        <v>52</v>
      </c>
      <c r="P8" s="40"/>
    </row>
    <row r="9" ht="31.5" customHeight="1">
      <c r="A9" s="40"/>
      <c r="B9" s="76" t="s">
        <v>53</v>
      </c>
      <c r="C9" s="8"/>
      <c r="D9" s="8"/>
      <c r="E9" s="8"/>
      <c r="F9" s="8"/>
      <c r="G9" s="8"/>
      <c r="H9" s="8"/>
      <c r="I9" s="8"/>
      <c r="J9" s="77"/>
      <c r="K9" s="78" t="s">
        <v>54</v>
      </c>
      <c r="L9" s="79" t="s">
        <v>55</v>
      </c>
      <c r="M9" s="80" t="s">
        <v>56</v>
      </c>
      <c r="N9" s="81"/>
      <c r="O9" s="82" t="s">
        <v>57</v>
      </c>
      <c r="P9" s="1"/>
    </row>
    <row r="10" ht="15.75" customHeight="1">
      <c r="A10" s="40"/>
      <c r="B10" s="83"/>
      <c r="J10" s="47"/>
      <c r="K10" s="84"/>
      <c r="L10" s="85" t="b">
        <v>0</v>
      </c>
      <c r="M10" s="86"/>
      <c r="N10" s="87"/>
      <c r="O10" s="88"/>
      <c r="P10" s="1"/>
    </row>
    <row r="11" ht="15.75" customHeight="1">
      <c r="A11" s="40"/>
      <c r="B11" s="83"/>
      <c r="J11" s="47"/>
      <c r="K11" s="84"/>
      <c r="L11" s="85" t="b">
        <v>0</v>
      </c>
      <c r="M11" s="86"/>
      <c r="N11" s="87"/>
      <c r="O11" s="88"/>
      <c r="P11" s="1"/>
    </row>
    <row r="12" ht="15.75" customHeight="1">
      <c r="A12" s="40"/>
      <c r="B12" s="83"/>
      <c r="J12" s="47"/>
      <c r="K12" s="84"/>
      <c r="L12" s="85" t="b">
        <v>0</v>
      </c>
      <c r="M12" s="86"/>
      <c r="N12" s="87"/>
      <c r="O12" s="88"/>
      <c r="P12" s="1"/>
    </row>
    <row r="13" ht="15.75" customHeight="1">
      <c r="A13" s="40"/>
      <c r="B13" s="83"/>
      <c r="J13" s="47"/>
      <c r="K13" s="84"/>
      <c r="L13" s="85" t="b">
        <v>0</v>
      </c>
      <c r="M13" s="86"/>
      <c r="N13" s="87"/>
      <c r="O13" s="88"/>
      <c r="P13" s="1"/>
    </row>
    <row r="14" ht="15.75" customHeight="1">
      <c r="A14" s="40"/>
      <c r="B14" s="83"/>
      <c r="J14" s="47"/>
      <c r="K14" s="84"/>
      <c r="L14" s="85" t="b">
        <v>0</v>
      </c>
      <c r="M14" s="86"/>
      <c r="N14" s="87"/>
      <c r="O14" s="88"/>
      <c r="P14" s="1"/>
    </row>
    <row r="15" ht="15.75" customHeight="1">
      <c r="A15" s="40"/>
      <c r="B15" s="83"/>
      <c r="J15" s="47"/>
      <c r="K15" s="84"/>
      <c r="L15" s="85" t="b">
        <v>0</v>
      </c>
      <c r="M15" s="86"/>
      <c r="N15" s="87"/>
      <c r="O15" s="88"/>
      <c r="P15" s="1"/>
    </row>
    <row r="16" ht="15.75" customHeight="1">
      <c r="A16" s="40"/>
      <c r="B16" s="83"/>
      <c r="J16" s="47"/>
      <c r="K16" s="84"/>
      <c r="L16" s="85" t="b">
        <v>0</v>
      </c>
      <c r="M16" s="86"/>
      <c r="N16" s="87"/>
      <c r="O16" s="88"/>
      <c r="P16" s="1"/>
    </row>
    <row r="17" ht="15.75" customHeight="1">
      <c r="A17" s="40"/>
      <c r="B17" s="83"/>
      <c r="J17" s="47"/>
      <c r="K17" s="84"/>
      <c r="L17" s="85" t="b">
        <v>0</v>
      </c>
      <c r="M17" s="86"/>
      <c r="N17" s="87"/>
      <c r="O17" s="88"/>
      <c r="P17" s="1"/>
    </row>
    <row r="18" ht="15.75" customHeight="1">
      <c r="A18" s="40"/>
      <c r="B18" s="83"/>
      <c r="J18" s="47"/>
      <c r="K18" s="84"/>
      <c r="L18" s="85" t="b">
        <v>0</v>
      </c>
      <c r="M18" s="86"/>
      <c r="N18" s="87"/>
      <c r="O18" s="88"/>
      <c r="P18" s="1"/>
    </row>
    <row r="19" ht="15.75" customHeight="1">
      <c r="A19" s="40"/>
      <c r="B19" s="83"/>
      <c r="J19" s="47"/>
      <c r="K19" s="84"/>
      <c r="L19" s="85" t="b">
        <v>0</v>
      </c>
      <c r="M19" s="86"/>
      <c r="N19" s="87"/>
      <c r="O19" s="88"/>
      <c r="P19" s="1"/>
    </row>
    <row r="20" ht="15.75" customHeight="1">
      <c r="A20" s="40"/>
      <c r="B20" s="83"/>
      <c r="J20" s="47"/>
      <c r="K20" s="84"/>
      <c r="L20" s="85" t="b">
        <v>0</v>
      </c>
      <c r="M20" s="86"/>
      <c r="N20" s="87"/>
      <c r="O20" s="88"/>
      <c r="P20" s="1"/>
    </row>
    <row r="21" ht="15.75" customHeight="1">
      <c r="A21" s="40"/>
      <c r="B21" s="83"/>
      <c r="J21" s="47"/>
      <c r="K21" s="84"/>
      <c r="L21" s="85" t="b">
        <v>0</v>
      </c>
      <c r="M21" s="86"/>
      <c r="N21" s="87"/>
      <c r="O21" s="88"/>
      <c r="P21" s="1"/>
    </row>
    <row r="22" ht="15.75" customHeight="1">
      <c r="A22" s="40"/>
      <c r="B22" s="83"/>
      <c r="J22" s="47"/>
      <c r="K22" s="84"/>
      <c r="L22" s="85" t="b">
        <v>0</v>
      </c>
      <c r="M22" s="86"/>
      <c r="N22" s="87"/>
      <c r="O22" s="88"/>
      <c r="P22" s="1"/>
    </row>
    <row r="23" ht="15.75" customHeight="1">
      <c r="A23" s="40"/>
      <c r="B23" s="83"/>
      <c r="J23" s="47"/>
      <c r="K23" s="84"/>
      <c r="L23" s="85" t="b">
        <v>0</v>
      </c>
      <c r="M23" s="86"/>
      <c r="N23" s="87"/>
      <c r="O23" s="88"/>
      <c r="P23" s="1"/>
    </row>
    <row r="24" ht="15.75" customHeight="1">
      <c r="A24" s="40"/>
      <c r="B24" s="83"/>
      <c r="J24" s="47"/>
      <c r="K24" s="84"/>
      <c r="L24" s="85" t="b">
        <v>0</v>
      </c>
      <c r="M24" s="86"/>
      <c r="N24" s="87"/>
      <c r="O24" s="88"/>
      <c r="P24" s="1"/>
    </row>
    <row r="25" ht="15.75" customHeight="1">
      <c r="A25" s="40"/>
      <c r="B25" s="83"/>
      <c r="J25" s="47"/>
      <c r="K25" s="84"/>
      <c r="L25" s="85" t="b">
        <v>0</v>
      </c>
      <c r="M25" s="86"/>
      <c r="N25" s="87"/>
      <c r="O25" s="88"/>
      <c r="P25" s="1"/>
    </row>
    <row r="26" ht="15.75" customHeight="1">
      <c r="A26" s="40"/>
      <c r="B26" s="83"/>
      <c r="J26" s="47"/>
      <c r="K26" s="84"/>
      <c r="L26" s="85" t="b">
        <v>0</v>
      </c>
      <c r="M26" s="86"/>
      <c r="N26" s="87"/>
      <c r="O26" s="88"/>
      <c r="P26" s="1"/>
    </row>
    <row r="27" ht="15.75" customHeight="1">
      <c r="A27" s="40"/>
      <c r="B27" s="83"/>
      <c r="J27" s="47"/>
      <c r="K27" s="84"/>
      <c r="L27" s="85" t="b">
        <v>0</v>
      </c>
      <c r="M27" s="86"/>
      <c r="N27" s="87"/>
      <c r="O27" s="88"/>
      <c r="P27" s="1"/>
    </row>
    <row r="28" ht="15.75" customHeight="1">
      <c r="A28" s="40"/>
      <c r="B28" s="83"/>
      <c r="J28" s="47"/>
      <c r="K28" s="84"/>
      <c r="L28" s="85" t="b">
        <v>0</v>
      </c>
      <c r="M28" s="86"/>
      <c r="N28" s="87"/>
      <c r="O28" s="88"/>
      <c r="P28" s="1"/>
    </row>
    <row r="29" ht="15.75" customHeight="1">
      <c r="A29" s="40"/>
      <c r="B29" s="83"/>
      <c r="J29" s="47"/>
      <c r="K29" s="84"/>
      <c r="L29" s="85" t="b">
        <v>0</v>
      </c>
      <c r="M29" s="86"/>
      <c r="N29" s="87"/>
      <c r="O29" s="88"/>
      <c r="P29" s="1"/>
    </row>
    <row r="30" ht="15.75" customHeight="1">
      <c r="A30" s="40"/>
      <c r="B30" s="83"/>
      <c r="J30" s="47"/>
      <c r="K30" s="84"/>
      <c r="L30" s="85" t="b">
        <v>0</v>
      </c>
      <c r="M30" s="86"/>
      <c r="N30" s="87"/>
      <c r="O30" s="88"/>
      <c r="P30" s="1"/>
    </row>
    <row r="31" ht="15.75" customHeight="1">
      <c r="A31" s="40"/>
      <c r="B31" s="83"/>
      <c r="J31" s="47"/>
      <c r="K31" s="84"/>
      <c r="L31" s="85" t="b">
        <v>0</v>
      </c>
      <c r="M31" s="86"/>
      <c r="N31" s="87"/>
      <c r="O31" s="88"/>
      <c r="P31" s="1"/>
    </row>
    <row r="32" ht="15.75" customHeight="1">
      <c r="A32" s="40"/>
      <c r="B32" s="83"/>
      <c r="J32" s="47"/>
      <c r="K32" s="84"/>
      <c r="L32" s="85" t="b">
        <v>0</v>
      </c>
      <c r="M32" s="86"/>
      <c r="N32" s="87"/>
      <c r="O32" s="88"/>
      <c r="P32" s="1"/>
    </row>
    <row r="33" ht="15.75" customHeight="1">
      <c r="A33" s="40"/>
      <c r="B33" s="83"/>
      <c r="J33" s="47"/>
      <c r="K33" s="84"/>
      <c r="L33" s="85" t="b">
        <v>0</v>
      </c>
      <c r="M33" s="86"/>
      <c r="N33" s="87"/>
      <c r="O33" s="88"/>
      <c r="P33" s="1"/>
    </row>
    <row r="34" ht="15.75" customHeight="1">
      <c r="A34" s="40"/>
      <c r="B34" s="83"/>
      <c r="J34" s="47"/>
      <c r="K34" s="84"/>
      <c r="L34" s="85" t="b">
        <v>0</v>
      </c>
      <c r="M34" s="86"/>
      <c r="N34" s="87"/>
      <c r="O34" s="88"/>
      <c r="P34" s="1"/>
    </row>
    <row r="35" ht="15.75" customHeight="1">
      <c r="A35" s="40"/>
      <c r="B35" s="83"/>
      <c r="J35" s="47"/>
      <c r="K35" s="84"/>
      <c r="L35" s="85" t="b">
        <v>0</v>
      </c>
      <c r="M35" s="86"/>
      <c r="N35" s="87"/>
      <c r="O35" s="88"/>
      <c r="P35" s="1"/>
    </row>
    <row r="36" ht="15.75" customHeight="1">
      <c r="A36" s="40"/>
      <c r="B36" s="83"/>
      <c r="J36" s="47"/>
      <c r="K36" s="84"/>
      <c r="L36" s="85" t="b">
        <v>0</v>
      </c>
      <c r="M36" s="86"/>
      <c r="N36" s="87"/>
      <c r="O36" s="88"/>
      <c r="P36" s="1"/>
    </row>
    <row r="37" ht="15.75" customHeight="1">
      <c r="A37" s="40"/>
      <c r="B37" s="83"/>
      <c r="J37" s="47"/>
      <c r="K37" s="84"/>
      <c r="L37" s="85" t="b">
        <v>0</v>
      </c>
      <c r="M37" s="86"/>
      <c r="N37" s="87"/>
      <c r="O37" s="88"/>
      <c r="P37" s="1"/>
    </row>
    <row r="38" ht="15.75" customHeight="1">
      <c r="A38" s="40"/>
      <c r="B38" s="83"/>
      <c r="J38" s="47"/>
      <c r="K38" s="84"/>
      <c r="L38" s="85" t="b">
        <v>0</v>
      </c>
      <c r="M38" s="86"/>
      <c r="N38" s="87"/>
      <c r="O38" s="88"/>
      <c r="P38" s="1"/>
    </row>
    <row r="39" ht="15.75" customHeight="1">
      <c r="A39" s="40"/>
      <c r="B39" s="83"/>
      <c r="J39" s="47"/>
      <c r="K39" s="84"/>
      <c r="L39" s="85" t="b">
        <v>0</v>
      </c>
      <c r="M39" s="86"/>
      <c r="N39" s="87"/>
      <c r="O39" s="88"/>
      <c r="P39" s="1"/>
    </row>
    <row r="40" ht="15.75" customHeight="1">
      <c r="A40" s="40"/>
      <c r="B40" s="83"/>
      <c r="J40" s="47"/>
      <c r="K40" s="84"/>
      <c r="L40" s="85" t="b">
        <v>0</v>
      </c>
      <c r="M40" s="86"/>
      <c r="N40" s="87"/>
      <c r="O40" s="88"/>
      <c r="P40" s="1"/>
    </row>
    <row r="41" ht="15.75" customHeight="1">
      <c r="A41" s="40"/>
      <c r="B41" s="83"/>
      <c r="J41" s="47"/>
      <c r="K41" s="84"/>
      <c r="L41" s="85" t="b">
        <v>0</v>
      </c>
      <c r="M41" s="86"/>
      <c r="N41" s="87"/>
      <c r="O41" s="88"/>
      <c r="P41" s="1"/>
    </row>
    <row r="42" ht="15.75" customHeight="1">
      <c r="A42" s="40"/>
      <c r="B42" s="83"/>
      <c r="J42" s="47"/>
      <c r="K42" s="84"/>
      <c r="L42" s="85" t="b">
        <v>0</v>
      </c>
      <c r="M42" s="86"/>
      <c r="N42" s="87"/>
      <c r="O42" s="88"/>
      <c r="P42" s="1"/>
    </row>
    <row r="43" ht="15.75" customHeight="1">
      <c r="A43" s="40"/>
      <c r="B43" s="83"/>
      <c r="J43" s="47"/>
      <c r="K43" s="84"/>
      <c r="L43" s="85" t="b">
        <v>0</v>
      </c>
      <c r="M43" s="86"/>
      <c r="N43" s="87"/>
      <c r="O43" s="88"/>
      <c r="P43" s="1"/>
    </row>
    <row r="44" ht="15.75" customHeight="1">
      <c r="A44" s="40"/>
      <c r="B44" s="83"/>
      <c r="J44" s="47"/>
      <c r="K44" s="84"/>
      <c r="L44" s="85" t="b">
        <v>0</v>
      </c>
      <c r="M44" s="86"/>
      <c r="N44" s="87"/>
      <c r="O44" s="88"/>
      <c r="P44" s="1"/>
    </row>
    <row r="45" ht="15.75" customHeight="1">
      <c r="A45" s="40"/>
      <c r="B45" s="83"/>
      <c r="J45" s="47"/>
      <c r="K45" s="84"/>
      <c r="L45" s="85" t="b">
        <v>0</v>
      </c>
      <c r="M45" s="86"/>
      <c r="N45" s="87"/>
      <c r="O45" s="88"/>
      <c r="P45" s="1"/>
    </row>
    <row r="46" ht="15.75" customHeight="1">
      <c r="A46" s="40"/>
      <c r="B46" s="83"/>
      <c r="J46" s="47"/>
      <c r="K46" s="84"/>
      <c r="L46" s="85" t="b">
        <v>0</v>
      </c>
      <c r="M46" s="86"/>
      <c r="N46" s="87"/>
      <c r="O46" s="88"/>
      <c r="P46" s="1"/>
    </row>
    <row r="47" ht="15.75" customHeight="1">
      <c r="A47" s="40"/>
      <c r="B47" s="83"/>
      <c r="J47" s="47"/>
      <c r="K47" s="84"/>
      <c r="L47" s="85" t="b">
        <v>0</v>
      </c>
      <c r="M47" s="86"/>
      <c r="N47" s="87"/>
      <c r="O47" s="88"/>
      <c r="P47" s="1"/>
    </row>
    <row r="48" ht="15.75" customHeight="1">
      <c r="A48" s="40"/>
      <c r="B48" s="83"/>
      <c r="J48" s="47"/>
      <c r="K48" s="84"/>
      <c r="L48" s="85" t="b">
        <v>0</v>
      </c>
      <c r="M48" s="86"/>
      <c r="N48" s="87"/>
      <c r="O48" s="88"/>
      <c r="P48" s="1"/>
    </row>
    <row r="49" ht="15.75" customHeight="1">
      <c r="A49" s="40"/>
      <c r="B49" s="83"/>
      <c r="J49" s="47"/>
      <c r="K49" s="84"/>
      <c r="L49" s="85" t="b">
        <v>0</v>
      </c>
      <c r="M49" s="86"/>
      <c r="N49" s="87"/>
      <c r="O49" s="88"/>
      <c r="P49" s="1"/>
    </row>
    <row r="50" ht="15.75" customHeight="1">
      <c r="A50" s="40"/>
      <c r="B50" s="83"/>
      <c r="J50" s="47"/>
      <c r="K50" s="84"/>
      <c r="L50" s="85" t="b">
        <v>0</v>
      </c>
      <c r="M50" s="86"/>
      <c r="N50" s="87"/>
      <c r="O50" s="88"/>
      <c r="P50" s="1"/>
    </row>
    <row r="51" ht="15.75" customHeight="1">
      <c r="A51" s="40"/>
      <c r="B51" s="89"/>
      <c r="C51" s="16"/>
      <c r="D51" s="16"/>
      <c r="E51" s="16"/>
      <c r="F51" s="16"/>
      <c r="G51" s="16"/>
      <c r="H51" s="16"/>
      <c r="I51" s="16"/>
      <c r="J51" s="90"/>
      <c r="K51" s="91"/>
      <c r="L51" s="92" t="b">
        <v>0</v>
      </c>
      <c r="M51" s="93"/>
      <c r="N51" s="94"/>
      <c r="O51" s="95"/>
      <c r="P51" s="40"/>
    </row>
    <row r="52" ht="15.75" customHeight="1">
      <c r="A52" s="40"/>
      <c r="B52" s="96"/>
      <c r="C52" s="96"/>
      <c r="D52" s="96"/>
      <c r="E52" s="96"/>
      <c r="F52" s="96"/>
      <c r="G52" s="96"/>
      <c r="H52" s="96"/>
      <c r="I52" s="1"/>
      <c r="J52" s="1"/>
      <c r="K52" s="1"/>
      <c r="L52" s="1"/>
      <c r="M52" s="1"/>
      <c r="N52" s="97"/>
      <c r="O52" s="97"/>
      <c r="P52" s="40"/>
    </row>
    <row r="53" ht="15.75" customHeight="1">
      <c r="A53" s="40"/>
      <c r="B53" s="98" t="s">
        <v>58</v>
      </c>
      <c r="C53" s="99"/>
      <c r="D53" s="99"/>
      <c r="E53" s="99"/>
      <c r="F53" s="99"/>
      <c r="G53" s="99"/>
      <c r="H53" s="99"/>
      <c r="I53" s="100"/>
      <c r="J53" s="101" t="s">
        <v>59</v>
      </c>
      <c r="K53" s="102"/>
      <c r="L53" s="1"/>
      <c r="M53" s="1"/>
      <c r="N53" s="97"/>
      <c r="O53" s="97"/>
      <c r="P53" s="40"/>
    </row>
    <row r="54" ht="15.75" customHeight="1">
      <c r="A54" s="40"/>
      <c r="B54" s="103" t="s">
        <v>60</v>
      </c>
      <c r="C54" s="104" t="s">
        <v>61</v>
      </c>
      <c r="D54" s="105"/>
      <c r="E54" s="106"/>
      <c r="F54" s="104" t="s">
        <v>62</v>
      </c>
      <c r="G54" s="105"/>
      <c r="H54" s="107"/>
      <c r="I54" s="100"/>
      <c r="J54" s="108" t="s">
        <v>63</v>
      </c>
      <c r="K54" s="109"/>
      <c r="L54" s="110"/>
      <c r="M54" s="111" t="s">
        <v>64</v>
      </c>
      <c r="N54" s="109"/>
      <c r="O54" s="102"/>
      <c r="P54" s="40"/>
    </row>
    <row r="55" ht="15.75" customHeight="1">
      <c r="A55" s="40"/>
      <c r="B55" s="112"/>
      <c r="C55" s="113" t="s">
        <v>65</v>
      </c>
      <c r="D55" s="114" t="s">
        <v>66</v>
      </c>
      <c r="E55" s="115" t="s">
        <v>67</v>
      </c>
      <c r="F55" s="113" t="s">
        <v>65</v>
      </c>
      <c r="G55" s="114" t="s">
        <v>66</v>
      </c>
      <c r="H55" s="116" t="s">
        <v>67</v>
      </c>
      <c r="I55" s="110"/>
      <c r="J55" s="117" t="str">
        <f t="array" ref="J55">GPA({$K$10:$K$51,$M$10:$M$51,$O$10:$O$51},1,2)</f>
        <v>Loading...</v>
      </c>
      <c r="K55" s="118"/>
      <c r="L55" s="110"/>
      <c r="M55" s="119" t="str">
        <f t="array" ref="M55">CREDITSSUM({$K$10:$K$51,$M$10:$M$51},1,2)</f>
        <v>Loading...</v>
      </c>
      <c r="N55" s="118"/>
      <c r="O55" s="120"/>
      <c r="P55" s="40"/>
    </row>
    <row r="56" ht="15.75" customHeight="1">
      <c r="A56" s="40"/>
      <c r="B56" s="132" t="s">
        <v>68</v>
      </c>
      <c r="C56" s="122"/>
      <c r="D56" s="84"/>
      <c r="E56" s="123"/>
      <c r="F56" s="86"/>
      <c r="G56" s="84"/>
      <c r="H56" s="124"/>
      <c r="I56" s="134" t="s">
        <v>73</v>
      </c>
      <c r="J56" s="135"/>
      <c r="K56" s="1"/>
      <c r="L56" s="1"/>
      <c r="M56" s="1"/>
      <c r="N56" s="1"/>
      <c r="O56" s="1"/>
      <c r="P56" s="40"/>
    </row>
    <row r="57" ht="15.75" customHeight="1">
      <c r="A57" s="73"/>
      <c r="B57" s="132" t="s">
        <v>69</v>
      </c>
      <c r="C57" s="122"/>
      <c r="D57" s="84"/>
      <c r="E57" s="123"/>
      <c r="F57" s="86"/>
      <c r="G57" s="84"/>
      <c r="H57" s="124"/>
      <c r="I57" s="136"/>
      <c r="J57" s="137"/>
      <c r="K57" s="137"/>
      <c r="L57" s="137"/>
      <c r="M57" s="137"/>
      <c r="N57" s="137"/>
      <c r="O57" s="138"/>
      <c r="P57" s="40"/>
    </row>
    <row r="58" ht="15.75" customHeight="1">
      <c r="A58" s="73"/>
      <c r="B58" s="121" t="s">
        <v>70</v>
      </c>
      <c r="C58" s="122"/>
      <c r="D58" s="84"/>
      <c r="E58" s="123"/>
      <c r="F58" s="86"/>
      <c r="G58" s="84"/>
      <c r="H58" s="124"/>
      <c r="O58" s="139"/>
      <c r="P58" s="40"/>
    </row>
    <row r="59" ht="15.75" customHeight="1">
      <c r="A59" s="73"/>
      <c r="B59" s="125" t="s">
        <v>71</v>
      </c>
      <c r="C59" s="126"/>
      <c r="D59" s="127"/>
      <c r="E59" s="128"/>
      <c r="F59" s="129"/>
      <c r="G59" s="127"/>
      <c r="H59" s="130"/>
      <c r="I59" s="140"/>
      <c r="J59" s="140"/>
      <c r="K59" s="140"/>
      <c r="L59" s="140"/>
      <c r="M59" s="140"/>
      <c r="N59" s="140"/>
      <c r="O59" s="135"/>
      <c r="P59" s="40"/>
    </row>
    <row r="60" ht="15.75" customHeight="1">
      <c r="A60" s="40"/>
      <c r="B60" s="96"/>
      <c r="C60" s="96"/>
      <c r="D60" s="96"/>
      <c r="E60" s="96"/>
      <c r="F60" s="96"/>
      <c r="G60" s="96"/>
      <c r="H60" s="96"/>
      <c r="I60" s="97"/>
      <c r="J60" s="97"/>
      <c r="K60" s="97"/>
      <c r="L60" s="131"/>
      <c r="M60" s="97"/>
      <c r="N60" s="97"/>
      <c r="O60" s="97"/>
      <c r="P60" s="40"/>
    </row>
    <row r="61" ht="15.75" customHeight="1">
      <c r="A61" s="40"/>
      <c r="B61" s="96"/>
      <c r="C61" s="96"/>
      <c r="D61" s="96"/>
      <c r="E61" s="96"/>
      <c r="F61" s="96"/>
      <c r="G61" s="96"/>
      <c r="H61" s="96"/>
      <c r="I61" s="97"/>
      <c r="J61" s="97"/>
      <c r="K61" s="97"/>
      <c r="L61" s="131"/>
      <c r="M61" s="97"/>
      <c r="N61" s="97"/>
      <c r="O61" s="97"/>
      <c r="P61" s="40"/>
    </row>
  </sheetData>
  <mergeCells count="71">
    <mergeCell ref="B42:J42"/>
    <mergeCell ref="B43:J43"/>
    <mergeCell ref="B44:J44"/>
    <mergeCell ref="B45:J45"/>
    <mergeCell ref="B46:J46"/>
    <mergeCell ref="B47:J47"/>
    <mergeCell ref="B48:J48"/>
    <mergeCell ref="J54:K54"/>
    <mergeCell ref="M54:O54"/>
    <mergeCell ref="M55:O55"/>
    <mergeCell ref="I56:J56"/>
    <mergeCell ref="I57:O59"/>
    <mergeCell ref="B49:J49"/>
    <mergeCell ref="B50:J50"/>
    <mergeCell ref="B51:J51"/>
    <mergeCell ref="J53:K53"/>
    <mergeCell ref="B54:B55"/>
    <mergeCell ref="C54:E54"/>
    <mergeCell ref="F54:H54"/>
    <mergeCell ref="J55:K55"/>
    <mergeCell ref="C1:H2"/>
    <mergeCell ref="I1:O2"/>
    <mergeCell ref="C3:E3"/>
    <mergeCell ref="F3:H3"/>
    <mergeCell ref="I3:J3"/>
    <mergeCell ref="K3:O3"/>
    <mergeCell ref="C4:E4"/>
    <mergeCell ref="K4:O4"/>
    <mergeCell ref="F4:H4"/>
    <mergeCell ref="I4:J4"/>
    <mergeCell ref="C5:E6"/>
    <mergeCell ref="F5:H6"/>
    <mergeCell ref="I5:J6"/>
    <mergeCell ref="K5:O6"/>
    <mergeCell ref="C7:E8"/>
    <mergeCell ref="K7:O8"/>
    <mergeCell ref="F7:H8"/>
    <mergeCell ref="I7:J8"/>
    <mergeCell ref="B9:J9"/>
    <mergeCell ref="B10:J10"/>
    <mergeCell ref="B11:J11"/>
    <mergeCell ref="B12:J12"/>
    <mergeCell ref="B13:J13"/>
    <mergeCell ref="B14:J14"/>
    <mergeCell ref="B15:J15"/>
    <mergeCell ref="B16:J16"/>
    <mergeCell ref="B17:J17"/>
    <mergeCell ref="B18:J18"/>
    <mergeCell ref="B19:J19"/>
    <mergeCell ref="B20:J20"/>
    <mergeCell ref="B21:J21"/>
    <mergeCell ref="B22:J22"/>
    <mergeCell ref="B23:J23"/>
    <mergeCell ref="B24:J24"/>
    <mergeCell ref="B25:J25"/>
    <mergeCell ref="B26:J26"/>
    <mergeCell ref="B27:J27"/>
    <mergeCell ref="B28:J28"/>
    <mergeCell ref="B29:J29"/>
    <mergeCell ref="B30:J30"/>
    <mergeCell ref="B31:J31"/>
    <mergeCell ref="B32:J32"/>
    <mergeCell ref="B33:J33"/>
    <mergeCell ref="B34:J34"/>
    <mergeCell ref="B35:J35"/>
    <mergeCell ref="B36:J36"/>
    <mergeCell ref="B37:J37"/>
    <mergeCell ref="B38:J38"/>
    <mergeCell ref="B39:J39"/>
    <mergeCell ref="B40:J40"/>
    <mergeCell ref="B41:J41"/>
  </mergeCells>
  <dataValidations>
    <dataValidation type="custom" allowBlank="1" showDropDown="1" showInputMessage="1" showErrorMessage="1" prompt="Enter a number" sqref="K10:K50 O10:O51">
      <formula1>ISNUMBER(K10)</formula1>
    </dataValidation>
    <dataValidation type="list" allowBlank="1" showInputMessage="1" showErrorMessage="1" prompt="Click and enter a valid scale from the list of items. The valid scales are Letter, 0-100, 0-4, and None" sqref="B3">
      <formula1>"Letter,0-4,0-100,None"</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8.88"/>
    <col customWidth="1" min="3" max="8" width="6.38"/>
    <col customWidth="1" hidden="1" min="9" max="9" width="18.88"/>
    <col customWidth="1" min="10" max="10" width="18.88"/>
    <col customWidth="1" min="11" max="11" width="6.38"/>
    <col customWidth="1" hidden="1" min="12" max="12" width="18.88"/>
    <col customWidth="1" min="13" max="13" width="6.38"/>
    <col customWidth="1" hidden="1" min="14" max="14" width="6.38"/>
    <col customWidth="1" min="15" max="15" width="6.38"/>
  </cols>
  <sheetData>
    <row r="1" ht="15.75" customHeight="1">
      <c r="A1" s="58"/>
      <c r="B1" s="1"/>
      <c r="C1" s="71" t="s">
        <v>5</v>
      </c>
      <c r="I1" s="58" t="s">
        <v>6</v>
      </c>
      <c r="P1" s="72"/>
    </row>
    <row r="2" ht="15.75" customHeight="1">
      <c r="A2" s="58"/>
      <c r="B2" s="74" t="s">
        <v>50</v>
      </c>
      <c r="P2" s="72"/>
    </row>
    <row r="3" ht="15.75" customHeight="1">
      <c r="A3" s="73"/>
      <c r="B3" s="75" t="s">
        <v>51</v>
      </c>
      <c r="C3" s="59" t="s">
        <v>8</v>
      </c>
      <c r="F3" s="60" t="str">
        <f>'Getting Started'!$G$10</f>
        <v/>
      </c>
      <c r="I3" s="59" t="s">
        <v>9</v>
      </c>
      <c r="K3" s="60" t="str">
        <f>'Getting Started'!$I$10</f>
        <v/>
      </c>
      <c r="P3" s="40"/>
    </row>
    <row r="4" ht="15.75" customHeight="1">
      <c r="A4" s="73"/>
      <c r="B4" s="133" t="s">
        <v>72</v>
      </c>
      <c r="C4" s="59" t="s">
        <v>11</v>
      </c>
      <c r="F4" s="61" t="str">
        <f>'Getting Started'!$G$11</f>
        <v/>
      </c>
      <c r="I4" s="59" t="s">
        <v>12</v>
      </c>
      <c r="K4" s="60" t="str">
        <f>'Getting Started'!$I$11</f>
        <v/>
      </c>
      <c r="P4" s="40"/>
    </row>
    <row r="5" ht="15.75" customHeight="1">
      <c r="A5" s="73"/>
      <c r="B5" s="40" t="str">
        <f t="array" ref="B5">GPA({'9th Grade (Year)'!$K$10:$K$51,'9th Grade (Year)'!$M$10:$M$51,'9th Grade (Year)'!$O$10:$O$51;'10th Grade (Year)'!$K$10:$K$51,'10th Grade (Year)'!$M$10:$M$51,'10th Grade (Year)'!$O$10:$O$51;$K$10:$K$51,$M$10:$M$51,$O$10:$O$51},1,2)</f>
        <v>Loading...</v>
      </c>
      <c r="C5" s="59" t="s">
        <v>13</v>
      </c>
      <c r="F5" s="60" t="str">
        <f>'Getting Started'!$G$12</f>
        <v/>
      </c>
      <c r="I5" s="59" t="s">
        <v>14</v>
      </c>
      <c r="K5" s="60" t="str">
        <f>'Getting Started'!$I$12</f>
        <v/>
      </c>
      <c r="P5" s="40"/>
    </row>
    <row r="6" ht="15.75" customHeight="1">
      <c r="A6" s="73"/>
      <c r="B6" s="133" t="s">
        <v>64</v>
      </c>
      <c r="P6" s="40"/>
    </row>
    <row r="7" ht="15.75" customHeight="1">
      <c r="A7" s="73"/>
      <c r="B7" s="40" t="str">
        <f>IF('10th Grade (Year)'!B7+M55 = 0, "", '10th Grade (Year)'!B7+M55)</f>
        <v>Loading...</v>
      </c>
      <c r="C7" s="59" t="s">
        <v>15</v>
      </c>
      <c r="F7" s="62" t="str">
        <f>'Getting Started'!$G$14</f>
        <v/>
      </c>
      <c r="I7" s="59" t="s">
        <v>16</v>
      </c>
      <c r="K7" s="60" t="str">
        <f>'Getting Started'!$I$14</f>
        <v/>
      </c>
      <c r="P7" s="40"/>
    </row>
    <row r="8" ht="15.75" customHeight="1">
      <c r="A8" s="73"/>
      <c r="B8" s="19" t="s">
        <v>52</v>
      </c>
      <c r="P8" s="40"/>
    </row>
    <row r="9" ht="31.5" customHeight="1">
      <c r="A9" s="40"/>
      <c r="B9" s="76" t="s">
        <v>53</v>
      </c>
      <c r="C9" s="8"/>
      <c r="D9" s="8"/>
      <c r="E9" s="8"/>
      <c r="F9" s="8"/>
      <c r="G9" s="8"/>
      <c r="H9" s="8"/>
      <c r="I9" s="8"/>
      <c r="J9" s="77"/>
      <c r="K9" s="78" t="s">
        <v>54</v>
      </c>
      <c r="L9" s="79" t="s">
        <v>55</v>
      </c>
      <c r="M9" s="80" t="s">
        <v>56</v>
      </c>
      <c r="N9" s="81"/>
      <c r="O9" s="82" t="s">
        <v>57</v>
      </c>
      <c r="P9" s="1"/>
    </row>
    <row r="10" ht="15.75" customHeight="1">
      <c r="A10" s="40"/>
      <c r="B10" s="83"/>
      <c r="J10" s="47"/>
      <c r="K10" s="84"/>
      <c r="L10" s="85" t="b">
        <v>0</v>
      </c>
      <c r="M10" s="86"/>
      <c r="N10" s="87"/>
      <c r="O10" s="88"/>
      <c r="P10" s="1"/>
    </row>
    <row r="11" ht="15.75" customHeight="1">
      <c r="A11" s="40"/>
      <c r="B11" s="83"/>
      <c r="J11" s="47"/>
      <c r="K11" s="84"/>
      <c r="L11" s="85" t="b">
        <v>0</v>
      </c>
      <c r="M11" s="86"/>
      <c r="N11" s="87"/>
      <c r="O11" s="88"/>
      <c r="P11" s="1"/>
    </row>
    <row r="12" ht="15.75" customHeight="1">
      <c r="A12" s="40"/>
      <c r="B12" s="83"/>
      <c r="J12" s="47"/>
      <c r="K12" s="84"/>
      <c r="L12" s="85" t="b">
        <v>0</v>
      </c>
      <c r="M12" s="86"/>
      <c r="N12" s="87"/>
      <c r="O12" s="88"/>
      <c r="P12" s="1"/>
    </row>
    <row r="13" ht="15.75" customHeight="1">
      <c r="A13" s="40"/>
      <c r="B13" s="83"/>
      <c r="J13" s="47"/>
      <c r="K13" s="84"/>
      <c r="L13" s="85" t="b">
        <v>0</v>
      </c>
      <c r="M13" s="86"/>
      <c r="N13" s="87"/>
      <c r="O13" s="88"/>
      <c r="P13" s="1"/>
    </row>
    <row r="14" ht="15.75" customHeight="1">
      <c r="A14" s="40"/>
      <c r="B14" s="83"/>
      <c r="J14" s="47"/>
      <c r="K14" s="84"/>
      <c r="L14" s="85" t="b">
        <v>0</v>
      </c>
      <c r="M14" s="86"/>
      <c r="N14" s="87"/>
      <c r="O14" s="88"/>
      <c r="P14" s="1"/>
    </row>
    <row r="15" ht="15.75" customHeight="1">
      <c r="A15" s="40"/>
      <c r="B15" s="83"/>
      <c r="J15" s="47"/>
      <c r="K15" s="84"/>
      <c r="L15" s="85" t="b">
        <v>0</v>
      </c>
      <c r="M15" s="86"/>
      <c r="N15" s="87"/>
      <c r="O15" s="88"/>
      <c r="P15" s="1"/>
    </row>
    <row r="16" ht="15.75" customHeight="1">
      <c r="A16" s="40"/>
      <c r="B16" s="83"/>
      <c r="J16" s="47"/>
      <c r="K16" s="84"/>
      <c r="L16" s="85" t="b">
        <v>0</v>
      </c>
      <c r="M16" s="86"/>
      <c r="N16" s="87"/>
      <c r="O16" s="88"/>
      <c r="P16" s="1"/>
    </row>
    <row r="17" ht="15.75" customHeight="1">
      <c r="A17" s="40"/>
      <c r="B17" s="83"/>
      <c r="J17" s="47"/>
      <c r="K17" s="84"/>
      <c r="L17" s="85" t="b">
        <v>0</v>
      </c>
      <c r="M17" s="86"/>
      <c r="N17" s="87"/>
      <c r="O17" s="88"/>
      <c r="P17" s="1"/>
    </row>
    <row r="18" ht="15.75" customHeight="1">
      <c r="A18" s="40"/>
      <c r="B18" s="83"/>
      <c r="J18" s="47"/>
      <c r="K18" s="84"/>
      <c r="L18" s="85" t="b">
        <v>0</v>
      </c>
      <c r="M18" s="86"/>
      <c r="N18" s="87"/>
      <c r="O18" s="88"/>
      <c r="P18" s="1"/>
    </row>
    <row r="19" ht="15.75" customHeight="1">
      <c r="A19" s="40"/>
      <c r="B19" s="83"/>
      <c r="J19" s="47"/>
      <c r="K19" s="84"/>
      <c r="L19" s="85" t="b">
        <v>0</v>
      </c>
      <c r="M19" s="86"/>
      <c r="N19" s="87"/>
      <c r="O19" s="88"/>
      <c r="P19" s="1"/>
    </row>
    <row r="20" ht="15.75" customHeight="1">
      <c r="A20" s="40"/>
      <c r="B20" s="83"/>
      <c r="J20" s="47"/>
      <c r="K20" s="84"/>
      <c r="L20" s="85" t="b">
        <v>0</v>
      </c>
      <c r="M20" s="86"/>
      <c r="N20" s="87"/>
      <c r="O20" s="88"/>
      <c r="P20" s="1"/>
    </row>
    <row r="21" ht="15.75" customHeight="1">
      <c r="A21" s="40"/>
      <c r="B21" s="83"/>
      <c r="J21" s="47"/>
      <c r="K21" s="84"/>
      <c r="L21" s="85" t="b">
        <v>0</v>
      </c>
      <c r="M21" s="86"/>
      <c r="N21" s="87"/>
      <c r="O21" s="88"/>
      <c r="P21" s="1"/>
    </row>
    <row r="22" ht="15.75" customHeight="1">
      <c r="A22" s="40"/>
      <c r="B22" s="83"/>
      <c r="J22" s="47"/>
      <c r="K22" s="84"/>
      <c r="L22" s="85" t="b">
        <v>0</v>
      </c>
      <c r="M22" s="86"/>
      <c r="N22" s="87"/>
      <c r="O22" s="88"/>
      <c r="P22" s="1"/>
    </row>
    <row r="23" ht="15.75" customHeight="1">
      <c r="A23" s="40"/>
      <c r="B23" s="83"/>
      <c r="J23" s="47"/>
      <c r="K23" s="84"/>
      <c r="L23" s="85" t="b">
        <v>0</v>
      </c>
      <c r="M23" s="86"/>
      <c r="N23" s="87"/>
      <c r="O23" s="88"/>
      <c r="P23" s="1"/>
    </row>
    <row r="24" ht="15.75" customHeight="1">
      <c r="A24" s="40"/>
      <c r="B24" s="83"/>
      <c r="J24" s="47"/>
      <c r="K24" s="84"/>
      <c r="L24" s="85" t="b">
        <v>0</v>
      </c>
      <c r="M24" s="86"/>
      <c r="N24" s="87"/>
      <c r="O24" s="88"/>
      <c r="P24" s="1"/>
    </row>
    <row r="25" ht="15.75" customHeight="1">
      <c r="A25" s="40"/>
      <c r="B25" s="83"/>
      <c r="J25" s="47"/>
      <c r="K25" s="84"/>
      <c r="L25" s="85" t="b">
        <v>0</v>
      </c>
      <c r="M25" s="86"/>
      <c r="N25" s="87"/>
      <c r="O25" s="88"/>
      <c r="P25" s="1"/>
    </row>
    <row r="26" ht="15.75" customHeight="1">
      <c r="A26" s="40"/>
      <c r="B26" s="83"/>
      <c r="J26" s="47"/>
      <c r="K26" s="84"/>
      <c r="L26" s="85" t="b">
        <v>0</v>
      </c>
      <c r="M26" s="86"/>
      <c r="N26" s="87"/>
      <c r="O26" s="88"/>
      <c r="P26" s="1"/>
    </row>
    <row r="27" ht="15.75" customHeight="1">
      <c r="A27" s="40"/>
      <c r="B27" s="83"/>
      <c r="J27" s="47"/>
      <c r="K27" s="84"/>
      <c r="L27" s="85" t="b">
        <v>0</v>
      </c>
      <c r="M27" s="86"/>
      <c r="N27" s="87"/>
      <c r="O27" s="88"/>
      <c r="P27" s="1"/>
    </row>
    <row r="28" ht="15.75" customHeight="1">
      <c r="A28" s="40"/>
      <c r="B28" s="83"/>
      <c r="J28" s="47"/>
      <c r="K28" s="84"/>
      <c r="L28" s="85" t="b">
        <v>0</v>
      </c>
      <c r="M28" s="86"/>
      <c r="N28" s="87"/>
      <c r="O28" s="88"/>
      <c r="P28" s="1"/>
    </row>
    <row r="29" ht="15.75" customHeight="1">
      <c r="A29" s="40"/>
      <c r="B29" s="83"/>
      <c r="J29" s="47"/>
      <c r="K29" s="84"/>
      <c r="L29" s="85" t="b">
        <v>0</v>
      </c>
      <c r="M29" s="86"/>
      <c r="N29" s="87"/>
      <c r="O29" s="88"/>
      <c r="P29" s="1"/>
    </row>
    <row r="30" ht="15.75" customHeight="1">
      <c r="A30" s="40"/>
      <c r="B30" s="83"/>
      <c r="J30" s="47"/>
      <c r="K30" s="84"/>
      <c r="L30" s="85" t="b">
        <v>0</v>
      </c>
      <c r="M30" s="86"/>
      <c r="N30" s="87"/>
      <c r="O30" s="88"/>
      <c r="P30" s="1"/>
    </row>
    <row r="31" ht="15.75" customHeight="1">
      <c r="A31" s="40"/>
      <c r="B31" s="83"/>
      <c r="J31" s="47"/>
      <c r="K31" s="84"/>
      <c r="L31" s="85" t="b">
        <v>0</v>
      </c>
      <c r="M31" s="86"/>
      <c r="N31" s="87"/>
      <c r="O31" s="88"/>
      <c r="P31" s="1"/>
    </row>
    <row r="32" ht="15.75" customHeight="1">
      <c r="A32" s="40"/>
      <c r="B32" s="83"/>
      <c r="J32" s="47"/>
      <c r="K32" s="84"/>
      <c r="L32" s="85" t="b">
        <v>0</v>
      </c>
      <c r="M32" s="86"/>
      <c r="N32" s="87"/>
      <c r="O32" s="88"/>
      <c r="P32" s="1"/>
    </row>
    <row r="33" ht="15.75" customHeight="1">
      <c r="A33" s="40"/>
      <c r="B33" s="83"/>
      <c r="J33" s="47"/>
      <c r="K33" s="84"/>
      <c r="L33" s="85" t="b">
        <v>0</v>
      </c>
      <c r="M33" s="86"/>
      <c r="N33" s="87"/>
      <c r="O33" s="88"/>
      <c r="P33" s="1"/>
    </row>
    <row r="34" ht="15.75" customHeight="1">
      <c r="A34" s="40"/>
      <c r="B34" s="83"/>
      <c r="J34" s="47"/>
      <c r="K34" s="84"/>
      <c r="L34" s="85" t="b">
        <v>0</v>
      </c>
      <c r="M34" s="86"/>
      <c r="N34" s="87"/>
      <c r="O34" s="88"/>
      <c r="P34" s="1"/>
    </row>
    <row r="35" ht="15.75" customHeight="1">
      <c r="A35" s="40"/>
      <c r="B35" s="83"/>
      <c r="J35" s="47"/>
      <c r="K35" s="84"/>
      <c r="L35" s="85" t="b">
        <v>0</v>
      </c>
      <c r="M35" s="86"/>
      <c r="N35" s="87"/>
      <c r="O35" s="88"/>
      <c r="P35" s="1"/>
    </row>
    <row r="36" ht="15.75" customHeight="1">
      <c r="A36" s="40"/>
      <c r="B36" s="83"/>
      <c r="J36" s="47"/>
      <c r="K36" s="84"/>
      <c r="L36" s="85" t="b">
        <v>0</v>
      </c>
      <c r="M36" s="86"/>
      <c r="N36" s="87"/>
      <c r="O36" s="88"/>
      <c r="P36" s="1"/>
    </row>
    <row r="37" ht="15.75" customHeight="1">
      <c r="A37" s="40"/>
      <c r="B37" s="83"/>
      <c r="J37" s="47"/>
      <c r="K37" s="84"/>
      <c r="L37" s="85" t="b">
        <v>0</v>
      </c>
      <c r="M37" s="86"/>
      <c r="N37" s="87"/>
      <c r="O37" s="88"/>
      <c r="P37" s="1"/>
    </row>
    <row r="38" ht="15.75" customHeight="1">
      <c r="A38" s="40"/>
      <c r="B38" s="83"/>
      <c r="J38" s="47"/>
      <c r="K38" s="84"/>
      <c r="L38" s="85" t="b">
        <v>0</v>
      </c>
      <c r="M38" s="86"/>
      <c r="N38" s="87"/>
      <c r="O38" s="88"/>
      <c r="P38" s="1"/>
    </row>
    <row r="39" ht="15.75" customHeight="1">
      <c r="A39" s="40"/>
      <c r="B39" s="83"/>
      <c r="J39" s="47"/>
      <c r="K39" s="84"/>
      <c r="L39" s="85" t="b">
        <v>0</v>
      </c>
      <c r="M39" s="86"/>
      <c r="N39" s="87"/>
      <c r="O39" s="88"/>
      <c r="P39" s="1"/>
    </row>
    <row r="40" ht="15.75" customHeight="1">
      <c r="A40" s="40"/>
      <c r="B40" s="83"/>
      <c r="J40" s="47"/>
      <c r="K40" s="84"/>
      <c r="L40" s="85" t="b">
        <v>0</v>
      </c>
      <c r="M40" s="86"/>
      <c r="N40" s="87"/>
      <c r="O40" s="88"/>
      <c r="P40" s="1"/>
    </row>
    <row r="41" ht="15.75" customHeight="1">
      <c r="A41" s="40"/>
      <c r="B41" s="83"/>
      <c r="J41" s="47"/>
      <c r="K41" s="84"/>
      <c r="L41" s="85" t="b">
        <v>0</v>
      </c>
      <c r="M41" s="86"/>
      <c r="N41" s="87"/>
      <c r="O41" s="88"/>
      <c r="P41" s="1"/>
    </row>
    <row r="42" ht="15.75" customHeight="1">
      <c r="A42" s="40"/>
      <c r="B42" s="83"/>
      <c r="J42" s="47"/>
      <c r="K42" s="84"/>
      <c r="L42" s="85" t="b">
        <v>0</v>
      </c>
      <c r="M42" s="86"/>
      <c r="N42" s="87"/>
      <c r="O42" s="88"/>
      <c r="P42" s="1"/>
    </row>
    <row r="43" ht="15.75" customHeight="1">
      <c r="A43" s="40"/>
      <c r="B43" s="83"/>
      <c r="J43" s="47"/>
      <c r="K43" s="84"/>
      <c r="L43" s="85" t="b">
        <v>0</v>
      </c>
      <c r="M43" s="86"/>
      <c r="N43" s="87"/>
      <c r="O43" s="88"/>
      <c r="P43" s="1"/>
    </row>
    <row r="44" ht="15.75" customHeight="1">
      <c r="A44" s="40"/>
      <c r="B44" s="83"/>
      <c r="J44" s="47"/>
      <c r="K44" s="84"/>
      <c r="L44" s="85" t="b">
        <v>0</v>
      </c>
      <c r="M44" s="86"/>
      <c r="N44" s="87"/>
      <c r="O44" s="88"/>
      <c r="P44" s="1"/>
    </row>
    <row r="45" ht="15.75" customHeight="1">
      <c r="A45" s="40"/>
      <c r="B45" s="83"/>
      <c r="J45" s="47"/>
      <c r="K45" s="84"/>
      <c r="L45" s="85" t="b">
        <v>0</v>
      </c>
      <c r="M45" s="86"/>
      <c r="N45" s="87"/>
      <c r="O45" s="88"/>
      <c r="P45" s="1"/>
    </row>
    <row r="46" ht="15.75" customHeight="1">
      <c r="A46" s="40"/>
      <c r="B46" s="83"/>
      <c r="J46" s="47"/>
      <c r="K46" s="84"/>
      <c r="L46" s="85" t="b">
        <v>0</v>
      </c>
      <c r="M46" s="86"/>
      <c r="N46" s="87"/>
      <c r="O46" s="88"/>
      <c r="P46" s="1"/>
    </row>
    <row r="47" ht="15.75" customHeight="1">
      <c r="A47" s="40"/>
      <c r="B47" s="83"/>
      <c r="J47" s="47"/>
      <c r="K47" s="84"/>
      <c r="L47" s="85" t="b">
        <v>0</v>
      </c>
      <c r="M47" s="86"/>
      <c r="N47" s="87"/>
      <c r="O47" s="88"/>
      <c r="P47" s="1"/>
    </row>
    <row r="48" ht="15.75" customHeight="1">
      <c r="A48" s="40"/>
      <c r="B48" s="83"/>
      <c r="J48" s="47"/>
      <c r="K48" s="84"/>
      <c r="L48" s="85" t="b">
        <v>0</v>
      </c>
      <c r="M48" s="86"/>
      <c r="N48" s="87"/>
      <c r="O48" s="88"/>
      <c r="P48" s="1"/>
    </row>
    <row r="49" ht="15.75" customHeight="1">
      <c r="A49" s="40"/>
      <c r="B49" s="83"/>
      <c r="J49" s="47"/>
      <c r="K49" s="84"/>
      <c r="L49" s="85" t="b">
        <v>0</v>
      </c>
      <c r="M49" s="86"/>
      <c r="N49" s="87"/>
      <c r="O49" s="88"/>
      <c r="P49" s="1"/>
    </row>
    <row r="50" ht="15.75" customHeight="1">
      <c r="A50" s="40"/>
      <c r="B50" s="83"/>
      <c r="J50" s="47"/>
      <c r="K50" s="84"/>
      <c r="L50" s="85" t="b">
        <v>0</v>
      </c>
      <c r="M50" s="86"/>
      <c r="N50" s="87"/>
      <c r="O50" s="88"/>
      <c r="P50" s="1"/>
    </row>
    <row r="51" ht="15.75" customHeight="1">
      <c r="A51" s="40"/>
      <c r="B51" s="89"/>
      <c r="C51" s="16"/>
      <c r="D51" s="16"/>
      <c r="E51" s="16"/>
      <c r="F51" s="16"/>
      <c r="G51" s="16"/>
      <c r="H51" s="16"/>
      <c r="I51" s="16"/>
      <c r="J51" s="90"/>
      <c r="K51" s="91"/>
      <c r="L51" s="92" t="b">
        <v>0</v>
      </c>
      <c r="M51" s="93"/>
      <c r="N51" s="94"/>
      <c r="O51" s="95"/>
      <c r="P51" s="40"/>
    </row>
    <row r="52" ht="15.75" customHeight="1">
      <c r="A52" s="40"/>
      <c r="B52" s="96"/>
      <c r="C52" s="96"/>
      <c r="D52" s="96"/>
      <c r="E52" s="96"/>
      <c r="F52" s="96"/>
      <c r="G52" s="96"/>
      <c r="H52" s="96"/>
      <c r="I52" s="1"/>
      <c r="J52" s="1"/>
      <c r="K52" s="1"/>
      <c r="L52" s="1"/>
      <c r="M52" s="1"/>
      <c r="N52" s="97"/>
      <c r="O52" s="97"/>
      <c r="P52" s="40"/>
    </row>
    <row r="53" ht="15.75" customHeight="1">
      <c r="A53" s="40"/>
      <c r="B53" s="98" t="s">
        <v>58</v>
      </c>
      <c r="C53" s="99"/>
      <c r="D53" s="99"/>
      <c r="E53" s="99"/>
      <c r="F53" s="99"/>
      <c r="G53" s="99"/>
      <c r="H53" s="99"/>
      <c r="I53" s="100"/>
      <c r="J53" s="101" t="s">
        <v>59</v>
      </c>
      <c r="K53" s="102"/>
      <c r="L53" s="1"/>
      <c r="M53" s="1"/>
      <c r="N53" s="97"/>
      <c r="O53" s="97"/>
      <c r="P53" s="40"/>
    </row>
    <row r="54" ht="15.75" customHeight="1">
      <c r="A54" s="40"/>
      <c r="B54" s="103" t="s">
        <v>60</v>
      </c>
      <c r="C54" s="104" t="s">
        <v>61</v>
      </c>
      <c r="D54" s="105"/>
      <c r="E54" s="106"/>
      <c r="F54" s="104" t="s">
        <v>62</v>
      </c>
      <c r="G54" s="105"/>
      <c r="H54" s="107"/>
      <c r="I54" s="100"/>
      <c r="J54" s="108" t="s">
        <v>63</v>
      </c>
      <c r="K54" s="109"/>
      <c r="L54" s="110"/>
      <c r="M54" s="111" t="s">
        <v>64</v>
      </c>
      <c r="N54" s="109"/>
      <c r="O54" s="102"/>
      <c r="P54" s="40"/>
    </row>
    <row r="55" ht="15.75" customHeight="1">
      <c r="A55" s="40"/>
      <c r="B55" s="112"/>
      <c r="C55" s="113" t="s">
        <v>65</v>
      </c>
      <c r="D55" s="114" t="s">
        <v>66</v>
      </c>
      <c r="E55" s="115" t="s">
        <v>67</v>
      </c>
      <c r="F55" s="113" t="s">
        <v>65</v>
      </c>
      <c r="G55" s="114" t="s">
        <v>66</v>
      </c>
      <c r="H55" s="116" t="s">
        <v>67</v>
      </c>
      <c r="I55" s="110"/>
      <c r="J55" s="117" t="str">
        <f t="array" ref="J55">GPA({$K$10:$K$51,$M$10:$M$51,$O$10:$O$51},1,2)</f>
        <v>Loading...</v>
      </c>
      <c r="K55" s="118"/>
      <c r="L55" s="110"/>
      <c r="M55" s="119" t="str">
        <f t="array" ref="M55">CREDITSSUM({$K$10:$K$51,$M$10:$M$51},1,2)</f>
        <v>Loading...</v>
      </c>
      <c r="N55" s="118"/>
      <c r="O55" s="120"/>
      <c r="P55" s="40"/>
    </row>
    <row r="56" ht="15.75" customHeight="1">
      <c r="A56" s="40"/>
      <c r="B56" s="132" t="s">
        <v>68</v>
      </c>
      <c r="C56" s="122"/>
      <c r="D56" s="84"/>
      <c r="E56" s="123"/>
      <c r="F56" s="86"/>
      <c r="G56" s="84"/>
      <c r="H56" s="124"/>
      <c r="I56" s="134" t="s">
        <v>73</v>
      </c>
      <c r="J56" s="135"/>
      <c r="K56" s="1"/>
      <c r="L56" s="1"/>
      <c r="M56" s="1"/>
      <c r="N56" s="1"/>
      <c r="O56" s="1"/>
      <c r="P56" s="40"/>
    </row>
    <row r="57" ht="15.75" customHeight="1">
      <c r="A57" s="73"/>
      <c r="B57" s="132" t="s">
        <v>69</v>
      </c>
      <c r="C57" s="122"/>
      <c r="D57" s="84"/>
      <c r="E57" s="123"/>
      <c r="F57" s="86"/>
      <c r="G57" s="84"/>
      <c r="H57" s="124"/>
      <c r="I57" s="136"/>
      <c r="J57" s="137"/>
      <c r="K57" s="137"/>
      <c r="L57" s="137"/>
      <c r="M57" s="137"/>
      <c r="N57" s="137"/>
      <c r="O57" s="138"/>
      <c r="P57" s="40"/>
    </row>
    <row r="58" ht="15.75" customHeight="1">
      <c r="A58" s="73"/>
      <c r="B58" s="121" t="s">
        <v>70</v>
      </c>
      <c r="C58" s="122"/>
      <c r="D58" s="84"/>
      <c r="E58" s="123"/>
      <c r="F58" s="86"/>
      <c r="G58" s="84"/>
      <c r="H58" s="124"/>
      <c r="O58" s="139"/>
      <c r="P58" s="40"/>
    </row>
    <row r="59" ht="15.75" customHeight="1">
      <c r="A59" s="73"/>
      <c r="B59" s="125" t="s">
        <v>71</v>
      </c>
      <c r="C59" s="126"/>
      <c r="D59" s="127"/>
      <c r="E59" s="128"/>
      <c r="F59" s="129"/>
      <c r="G59" s="127"/>
      <c r="H59" s="130"/>
      <c r="I59" s="140"/>
      <c r="J59" s="140"/>
      <c r="K59" s="140"/>
      <c r="L59" s="140"/>
      <c r="M59" s="140"/>
      <c r="N59" s="140"/>
      <c r="O59" s="135"/>
      <c r="P59" s="40"/>
    </row>
    <row r="60" ht="15.75" customHeight="1">
      <c r="A60" s="40"/>
      <c r="B60" s="96"/>
      <c r="C60" s="96"/>
      <c r="D60" s="96"/>
      <c r="E60" s="96"/>
      <c r="F60" s="96"/>
      <c r="G60" s="96"/>
      <c r="H60" s="96"/>
      <c r="I60" s="97"/>
      <c r="J60" s="97"/>
      <c r="K60" s="97"/>
      <c r="L60" s="131"/>
      <c r="M60" s="97"/>
      <c r="N60" s="97"/>
      <c r="O60" s="97"/>
      <c r="P60" s="40"/>
    </row>
    <row r="61" ht="15.75" customHeight="1">
      <c r="A61" s="40"/>
      <c r="B61" s="96"/>
      <c r="C61" s="96"/>
      <c r="D61" s="96"/>
      <c r="E61" s="96"/>
      <c r="F61" s="96"/>
      <c r="G61" s="96"/>
      <c r="H61" s="96"/>
      <c r="I61" s="97"/>
      <c r="J61" s="97"/>
      <c r="K61" s="97"/>
      <c r="L61" s="131"/>
      <c r="M61" s="97"/>
      <c r="N61" s="97"/>
      <c r="O61" s="97"/>
      <c r="P61" s="40"/>
    </row>
  </sheetData>
  <mergeCells count="71">
    <mergeCell ref="B42:J42"/>
    <mergeCell ref="B43:J43"/>
    <mergeCell ref="B44:J44"/>
    <mergeCell ref="B45:J45"/>
    <mergeCell ref="B46:J46"/>
    <mergeCell ref="B47:J47"/>
    <mergeCell ref="B48:J48"/>
    <mergeCell ref="J54:K54"/>
    <mergeCell ref="M54:O54"/>
    <mergeCell ref="M55:O55"/>
    <mergeCell ref="I56:J56"/>
    <mergeCell ref="I57:O59"/>
    <mergeCell ref="B49:J49"/>
    <mergeCell ref="B50:J50"/>
    <mergeCell ref="B51:J51"/>
    <mergeCell ref="J53:K53"/>
    <mergeCell ref="B54:B55"/>
    <mergeCell ref="C54:E54"/>
    <mergeCell ref="F54:H54"/>
    <mergeCell ref="J55:K55"/>
    <mergeCell ref="C1:H2"/>
    <mergeCell ref="I1:O2"/>
    <mergeCell ref="C3:E3"/>
    <mergeCell ref="F3:H3"/>
    <mergeCell ref="I3:J3"/>
    <mergeCell ref="K3:O3"/>
    <mergeCell ref="C4:E4"/>
    <mergeCell ref="K4:O4"/>
    <mergeCell ref="F4:H4"/>
    <mergeCell ref="I4:J4"/>
    <mergeCell ref="C5:E6"/>
    <mergeCell ref="F5:H6"/>
    <mergeCell ref="I5:J6"/>
    <mergeCell ref="K5:O6"/>
    <mergeCell ref="C7:E8"/>
    <mergeCell ref="K7:O8"/>
    <mergeCell ref="F7:H8"/>
    <mergeCell ref="I7:J8"/>
    <mergeCell ref="B9:J9"/>
    <mergeCell ref="B10:J10"/>
    <mergeCell ref="B11:J11"/>
    <mergeCell ref="B12:J12"/>
    <mergeCell ref="B13:J13"/>
    <mergeCell ref="B14:J14"/>
    <mergeCell ref="B15:J15"/>
    <mergeCell ref="B16:J16"/>
    <mergeCell ref="B17:J17"/>
    <mergeCell ref="B18:J18"/>
    <mergeCell ref="B19:J19"/>
    <mergeCell ref="B20:J20"/>
    <mergeCell ref="B21:J21"/>
    <mergeCell ref="B22:J22"/>
    <mergeCell ref="B23:J23"/>
    <mergeCell ref="B24:J24"/>
    <mergeCell ref="B25:J25"/>
    <mergeCell ref="B26:J26"/>
    <mergeCell ref="B27:J27"/>
    <mergeCell ref="B28:J28"/>
    <mergeCell ref="B29:J29"/>
    <mergeCell ref="B30:J30"/>
    <mergeCell ref="B31:J31"/>
    <mergeCell ref="B32:J32"/>
    <mergeCell ref="B33:J33"/>
    <mergeCell ref="B34:J34"/>
    <mergeCell ref="B35:J35"/>
    <mergeCell ref="B36:J36"/>
    <mergeCell ref="B37:J37"/>
    <mergeCell ref="B38:J38"/>
    <mergeCell ref="B39:J39"/>
    <mergeCell ref="B40:J40"/>
    <mergeCell ref="B41:J41"/>
  </mergeCells>
  <dataValidations>
    <dataValidation type="custom" allowBlank="1" showDropDown="1" showInputMessage="1" showErrorMessage="1" prompt="Enter a number" sqref="K10:K50 O10:O51">
      <formula1>ISNUMBER(K10)</formula1>
    </dataValidation>
    <dataValidation type="list" allowBlank="1" showInputMessage="1" showErrorMessage="1" prompt="Click and enter a valid scale from the list of items. The valid scales are Letter, 0-100, 0-4, and None" sqref="B3">
      <formula1>"Letter,0-4,0-100,None"</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8.88"/>
    <col customWidth="1" min="3" max="8" width="6.38"/>
    <col customWidth="1" hidden="1" min="9" max="9" width="18.88"/>
    <col customWidth="1" min="10" max="10" width="18.88"/>
    <col customWidth="1" min="11" max="11" width="6.38"/>
    <col customWidth="1" hidden="1" min="12" max="12" width="18.88"/>
    <col customWidth="1" min="13" max="13" width="6.38"/>
    <col customWidth="1" hidden="1" min="14" max="14" width="6.38"/>
    <col customWidth="1" min="15" max="15" width="6.38"/>
  </cols>
  <sheetData>
    <row r="1" ht="15.75" customHeight="1">
      <c r="A1" s="58"/>
      <c r="B1" s="1"/>
      <c r="C1" s="71" t="s">
        <v>5</v>
      </c>
      <c r="I1" s="58" t="s">
        <v>6</v>
      </c>
      <c r="P1" s="72"/>
    </row>
    <row r="2" ht="15.75" customHeight="1">
      <c r="A2" s="58"/>
      <c r="B2" s="74" t="s">
        <v>50</v>
      </c>
      <c r="P2" s="72"/>
    </row>
    <row r="3" ht="15.75" customHeight="1">
      <c r="A3" s="73"/>
      <c r="B3" s="75" t="s">
        <v>51</v>
      </c>
      <c r="C3" s="59" t="s">
        <v>8</v>
      </c>
      <c r="F3" s="60" t="str">
        <f>'Getting Started'!$G$10</f>
        <v/>
      </c>
      <c r="I3" s="59" t="s">
        <v>9</v>
      </c>
      <c r="K3" s="60" t="str">
        <f>'Getting Started'!$I$10</f>
        <v/>
      </c>
      <c r="P3" s="40"/>
    </row>
    <row r="4" ht="15.75" customHeight="1">
      <c r="A4" s="73"/>
      <c r="B4" s="133" t="s">
        <v>72</v>
      </c>
      <c r="C4" s="59" t="s">
        <v>11</v>
      </c>
      <c r="F4" s="61" t="str">
        <f>'Getting Started'!$G$11</f>
        <v/>
      </c>
      <c r="I4" s="59" t="s">
        <v>12</v>
      </c>
      <c r="K4" s="60" t="str">
        <f>'Getting Started'!$I$11</f>
        <v/>
      </c>
      <c r="P4" s="40"/>
    </row>
    <row r="5" ht="15.75" customHeight="1">
      <c r="A5" s="73"/>
      <c r="B5" s="40" t="str">
        <f t="array" ref="B5">GPA({'9th Grade (Year)'!$K$10:$K$51,'9th Grade (Year)'!$M$10:$M$51,'9th Grade (Year)'!$O$10:$O$51;'10th Grade (Year)'!$K$10:$K$51,'10th Grade (Year)'!$M$10:$M$51,'10th Grade (Year)'!$O$10:$O$51;'11th Grade (Year)'!$K$10:$K$51,'11th Grade (Year)'!$M$10:$M$51,'11th Grade (Year)'!$O$10:$O$51;$K$10:$K$51,$M$10:$M$51,$O$10:$O$51},1,2)</f>
        <v>Loading...</v>
      </c>
      <c r="C5" s="59" t="s">
        <v>13</v>
      </c>
      <c r="F5" s="60" t="str">
        <f>'Getting Started'!$G$12</f>
        <v/>
      </c>
      <c r="I5" s="59" t="s">
        <v>14</v>
      </c>
      <c r="K5" s="60" t="str">
        <f>'Getting Started'!$I$12</f>
        <v/>
      </c>
      <c r="P5" s="40"/>
    </row>
    <row r="6" ht="15.75" customHeight="1">
      <c r="A6" s="73"/>
      <c r="B6" s="133" t="s">
        <v>64</v>
      </c>
      <c r="P6" s="40"/>
    </row>
    <row r="7" ht="15.75" customHeight="1">
      <c r="A7" s="73"/>
      <c r="B7" s="40" t="str">
        <f>IF('11th Grade (Year)'!B7+M55 = 0, "", '11th Grade (Year)'!B7+M55)</f>
        <v>Loading...</v>
      </c>
      <c r="C7" s="59" t="s">
        <v>15</v>
      </c>
      <c r="F7" s="62" t="str">
        <f>'Getting Started'!$G$14</f>
        <v/>
      </c>
      <c r="I7" s="59" t="s">
        <v>16</v>
      </c>
      <c r="K7" s="60" t="str">
        <f>'Getting Started'!$I$14</f>
        <v/>
      </c>
      <c r="P7" s="40"/>
    </row>
    <row r="8" ht="15.75" customHeight="1">
      <c r="A8" s="73"/>
      <c r="B8" s="19" t="s">
        <v>52</v>
      </c>
      <c r="P8" s="40"/>
    </row>
    <row r="9" ht="31.5" customHeight="1">
      <c r="A9" s="40"/>
      <c r="B9" s="76" t="s">
        <v>53</v>
      </c>
      <c r="C9" s="8"/>
      <c r="D9" s="8"/>
      <c r="E9" s="8"/>
      <c r="F9" s="8"/>
      <c r="G9" s="8"/>
      <c r="H9" s="8"/>
      <c r="I9" s="8"/>
      <c r="J9" s="77"/>
      <c r="K9" s="78" t="s">
        <v>54</v>
      </c>
      <c r="L9" s="79" t="s">
        <v>55</v>
      </c>
      <c r="M9" s="80" t="s">
        <v>56</v>
      </c>
      <c r="N9" s="81"/>
      <c r="O9" s="82" t="s">
        <v>57</v>
      </c>
      <c r="P9" s="1"/>
    </row>
    <row r="10" ht="15.75" customHeight="1">
      <c r="A10" s="40"/>
      <c r="B10" s="83"/>
      <c r="J10" s="47"/>
      <c r="K10" s="84"/>
      <c r="L10" s="85"/>
      <c r="M10" s="86"/>
      <c r="N10" s="87"/>
      <c r="O10" s="88"/>
      <c r="P10" s="1"/>
    </row>
    <row r="11" ht="15.75" customHeight="1">
      <c r="A11" s="40"/>
      <c r="B11" s="83"/>
      <c r="J11" s="47"/>
      <c r="K11" s="84"/>
      <c r="L11" s="85"/>
      <c r="M11" s="86"/>
      <c r="N11" s="87"/>
      <c r="O11" s="88"/>
      <c r="P11" s="1"/>
    </row>
    <row r="12" ht="15.75" customHeight="1">
      <c r="A12" s="40"/>
      <c r="B12" s="83"/>
      <c r="J12" s="47"/>
      <c r="K12" s="84"/>
      <c r="L12" s="85" t="b">
        <v>0</v>
      </c>
      <c r="M12" s="86"/>
      <c r="N12" s="87"/>
      <c r="O12" s="88"/>
      <c r="P12" s="1"/>
    </row>
    <row r="13" ht="15.75" customHeight="1">
      <c r="A13" s="40"/>
      <c r="B13" s="83"/>
      <c r="J13" s="47"/>
      <c r="K13" s="84"/>
      <c r="L13" s="85" t="b">
        <v>0</v>
      </c>
      <c r="M13" s="86"/>
      <c r="N13" s="87"/>
      <c r="O13" s="88"/>
      <c r="P13" s="1"/>
    </row>
    <row r="14" ht="15.75" customHeight="1">
      <c r="A14" s="40"/>
      <c r="B14" s="83"/>
      <c r="J14" s="47"/>
      <c r="K14" s="84"/>
      <c r="L14" s="85" t="b">
        <v>0</v>
      </c>
      <c r="M14" s="86"/>
      <c r="N14" s="87"/>
      <c r="O14" s="88"/>
      <c r="P14" s="1"/>
    </row>
    <row r="15" ht="15.75" customHeight="1">
      <c r="A15" s="40"/>
      <c r="B15" s="83"/>
      <c r="J15" s="47"/>
      <c r="K15" s="84"/>
      <c r="L15" s="85" t="b">
        <v>0</v>
      </c>
      <c r="M15" s="86"/>
      <c r="N15" s="87"/>
      <c r="O15" s="88"/>
      <c r="P15" s="1"/>
    </row>
    <row r="16" ht="15.75" customHeight="1">
      <c r="A16" s="40"/>
      <c r="B16" s="83"/>
      <c r="J16" s="47"/>
      <c r="K16" s="84"/>
      <c r="L16" s="85" t="b">
        <v>0</v>
      </c>
      <c r="M16" s="86"/>
      <c r="N16" s="87"/>
      <c r="O16" s="88"/>
      <c r="P16" s="1"/>
    </row>
    <row r="17" ht="15.75" customHeight="1">
      <c r="A17" s="40"/>
      <c r="B17" s="83"/>
      <c r="J17" s="47"/>
      <c r="K17" s="84"/>
      <c r="L17" s="85" t="b">
        <v>0</v>
      </c>
      <c r="M17" s="86"/>
      <c r="N17" s="87"/>
      <c r="O17" s="88"/>
      <c r="P17" s="1"/>
    </row>
    <row r="18" ht="15.75" customHeight="1">
      <c r="A18" s="40"/>
      <c r="B18" s="83"/>
      <c r="J18" s="47"/>
      <c r="K18" s="84"/>
      <c r="L18" s="85" t="b">
        <v>0</v>
      </c>
      <c r="M18" s="86"/>
      <c r="N18" s="87"/>
      <c r="O18" s="88"/>
      <c r="P18" s="1"/>
    </row>
    <row r="19" ht="15.75" customHeight="1">
      <c r="A19" s="40"/>
      <c r="B19" s="83"/>
      <c r="J19" s="47"/>
      <c r="K19" s="84"/>
      <c r="L19" s="85" t="b">
        <v>0</v>
      </c>
      <c r="M19" s="86"/>
      <c r="N19" s="87"/>
      <c r="O19" s="88"/>
      <c r="P19" s="1"/>
    </row>
    <row r="20" ht="15.75" customHeight="1">
      <c r="A20" s="40"/>
      <c r="B20" s="83"/>
      <c r="J20" s="47"/>
      <c r="K20" s="84"/>
      <c r="L20" s="85" t="b">
        <v>0</v>
      </c>
      <c r="M20" s="86"/>
      <c r="N20" s="87"/>
      <c r="O20" s="88"/>
      <c r="P20" s="1"/>
    </row>
    <row r="21" ht="15.75" customHeight="1">
      <c r="A21" s="40"/>
      <c r="B21" s="83"/>
      <c r="J21" s="47"/>
      <c r="K21" s="84"/>
      <c r="L21" s="85" t="b">
        <v>0</v>
      </c>
      <c r="M21" s="86"/>
      <c r="N21" s="87"/>
      <c r="O21" s="88"/>
      <c r="P21" s="1"/>
    </row>
    <row r="22" ht="15.75" customHeight="1">
      <c r="A22" s="40"/>
      <c r="B22" s="83"/>
      <c r="J22" s="47"/>
      <c r="K22" s="84"/>
      <c r="L22" s="85" t="b">
        <v>0</v>
      </c>
      <c r="M22" s="86"/>
      <c r="N22" s="87"/>
      <c r="O22" s="88"/>
      <c r="P22" s="1"/>
    </row>
    <row r="23" ht="15.75" customHeight="1">
      <c r="A23" s="40"/>
      <c r="B23" s="83"/>
      <c r="J23" s="47"/>
      <c r="K23" s="84"/>
      <c r="L23" s="85" t="b">
        <v>0</v>
      </c>
      <c r="M23" s="86"/>
      <c r="N23" s="87"/>
      <c r="O23" s="88"/>
      <c r="P23" s="1"/>
    </row>
    <row r="24" ht="15.75" customHeight="1">
      <c r="A24" s="40"/>
      <c r="B24" s="83"/>
      <c r="J24" s="47"/>
      <c r="K24" s="84"/>
      <c r="L24" s="85" t="b">
        <v>0</v>
      </c>
      <c r="M24" s="86"/>
      <c r="N24" s="87"/>
      <c r="O24" s="88"/>
      <c r="P24" s="1"/>
    </row>
    <row r="25" ht="15.75" customHeight="1">
      <c r="A25" s="40"/>
      <c r="B25" s="83"/>
      <c r="J25" s="47"/>
      <c r="K25" s="84"/>
      <c r="L25" s="85" t="b">
        <v>0</v>
      </c>
      <c r="M25" s="86"/>
      <c r="N25" s="87"/>
      <c r="O25" s="88"/>
      <c r="P25" s="1"/>
    </row>
    <row r="26" ht="15.75" customHeight="1">
      <c r="A26" s="40"/>
      <c r="B26" s="83"/>
      <c r="J26" s="47"/>
      <c r="K26" s="84"/>
      <c r="L26" s="85" t="b">
        <v>0</v>
      </c>
      <c r="M26" s="86"/>
      <c r="N26" s="87"/>
      <c r="O26" s="88"/>
      <c r="P26" s="1"/>
    </row>
    <row r="27" ht="15.75" customHeight="1">
      <c r="A27" s="40"/>
      <c r="B27" s="83"/>
      <c r="J27" s="47"/>
      <c r="K27" s="84"/>
      <c r="L27" s="85" t="b">
        <v>0</v>
      </c>
      <c r="M27" s="86"/>
      <c r="N27" s="87"/>
      <c r="O27" s="88"/>
      <c r="P27" s="1"/>
    </row>
    <row r="28" ht="15.75" customHeight="1">
      <c r="A28" s="40"/>
      <c r="B28" s="83"/>
      <c r="J28" s="47"/>
      <c r="K28" s="84"/>
      <c r="L28" s="85" t="b">
        <v>0</v>
      </c>
      <c r="M28" s="86"/>
      <c r="N28" s="87"/>
      <c r="O28" s="88"/>
      <c r="P28" s="1"/>
    </row>
    <row r="29" ht="15.75" customHeight="1">
      <c r="A29" s="40"/>
      <c r="B29" s="83"/>
      <c r="J29" s="47"/>
      <c r="K29" s="84"/>
      <c r="L29" s="85" t="b">
        <v>0</v>
      </c>
      <c r="M29" s="86"/>
      <c r="N29" s="87"/>
      <c r="O29" s="88"/>
      <c r="P29" s="1"/>
    </row>
    <row r="30" ht="15.75" customHeight="1">
      <c r="A30" s="40"/>
      <c r="B30" s="83"/>
      <c r="J30" s="47"/>
      <c r="K30" s="84"/>
      <c r="L30" s="85" t="b">
        <v>0</v>
      </c>
      <c r="M30" s="86"/>
      <c r="N30" s="87"/>
      <c r="O30" s="88"/>
      <c r="P30" s="1"/>
    </row>
    <row r="31" ht="15.75" customHeight="1">
      <c r="A31" s="40"/>
      <c r="B31" s="83"/>
      <c r="J31" s="47"/>
      <c r="K31" s="84"/>
      <c r="L31" s="85" t="b">
        <v>0</v>
      </c>
      <c r="M31" s="86"/>
      <c r="N31" s="87"/>
      <c r="O31" s="88"/>
      <c r="P31" s="1"/>
    </row>
    <row r="32" ht="15.75" customHeight="1">
      <c r="A32" s="40"/>
      <c r="B32" s="83"/>
      <c r="J32" s="47"/>
      <c r="K32" s="84"/>
      <c r="L32" s="85" t="b">
        <v>0</v>
      </c>
      <c r="M32" s="86"/>
      <c r="N32" s="87"/>
      <c r="O32" s="88"/>
      <c r="P32" s="1"/>
    </row>
    <row r="33" ht="15.75" customHeight="1">
      <c r="A33" s="40"/>
      <c r="B33" s="83"/>
      <c r="J33" s="47"/>
      <c r="K33" s="84"/>
      <c r="L33" s="85" t="b">
        <v>0</v>
      </c>
      <c r="M33" s="86"/>
      <c r="N33" s="87"/>
      <c r="O33" s="88"/>
      <c r="P33" s="1"/>
    </row>
    <row r="34" ht="15.75" customHeight="1">
      <c r="A34" s="40"/>
      <c r="B34" s="83"/>
      <c r="J34" s="47"/>
      <c r="K34" s="84"/>
      <c r="L34" s="85" t="b">
        <v>0</v>
      </c>
      <c r="M34" s="86"/>
      <c r="N34" s="87"/>
      <c r="O34" s="88"/>
      <c r="P34" s="1"/>
    </row>
    <row r="35" ht="15.75" customHeight="1">
      <c r="A35" s="40"/>
      <c r="B35" s="83"/>
      <c r="J35" s="47"/>
      <c r="K35" s="84"/>
      <c r="L35" s="85" t="b">
        <v>0</v>
      </c>
      <c r="M35" s="86"/>
      <c r="N35" s="87"/>
      <c r="O35" s="88"/>
      <c r="P35" s="1"/>
    </row>
    <row r="36" ht="15.75" customHeight="1">
      <c r="A36" s="40"/>
      <c r="B36" s="83"/>
      <c r="J36" s="47"/>
      <c r="K36" s="84"/>
      <c r="L36" s="85" t="b">
        <v>0</v>
      </c>
      <c r="M36" s="86"/>
      <c r="N36" s="87"/>
      <c r="O36" s="88"/>
      <c r="P36" s="1"/>
    </row>
    <row r="37" ht="15.75" customHeight="1">
      <c r="A37" s="40"/>
      <c r="B37" s="83"/>
      <c r="J37" s="47"/>
      <c r="K37" s="84"/>
      <c r="L37" s="85" t="b">
        <v>0</v>
      </c>
      <c r="M37" s="86"/>
      <c r="N37" s="87"/>
      <c r="O37" s="88"/>
      <c r="P37" s="1"/>
    </row>
    <row r="38" ht="15.75" customHeight="1">
      <c r="A38" s="40"/>
      <c r="B38" s="83"/>
      <c r="J38" s="47"/>
      <c r="K38" s="84"/>
      <c r="L38" s="85" t="b">
        <v>0</v>
      </c>
      <c r="M38" s="86"/>
      <c r="N38" s="87"/>
      <c r="O38" s="88"/>
      <c r="P38" s="1"/>
    </row>
    <row r="39" ht="15.75" customHeight="1">
      <c r="A39" s="40"/>
      <c r="B39" s="83"/>
      <c r="J39" s="47"/>
      <c r="K39" s="84"/>
      <c r="L39" s="85" t="b">
        <v>0</v>
      </c>
      <c r="M39" s="86"/>
      <c r="N39" s="87"/>
      <c r="O39" s="88"/>
      <c r="P39" s="1"/>
    </row>
    <row r="40" ht="15.75" customHeight="1">
      <c r="A40" s="40"/>
      <c r="B40" s="83"/>
      <c r="J40" s="47"/>
      <c r="K40" s="84"/>
      <c r="L40" s="85" t="b">
        <v>0</v>
      </c>
      <c r="M40" s="86"/>
      <c r="N40" s="87"/>
      <c r="O40" s="88"/>
      <c r="P40" s="1"/>
    </row>
    <row r="41" ht="15.75" customHeight="1">
      <c r="A41" s="40"/>
      <c r="B41" s="83"/>
      <c r="J41" s="47"/>
      <c r="K41" s="84"/>
      <c r="L41" s="85" t="b">
        <v>0</v>
      </c>
      <c r="M41" s="86"/>
      <c r="N41" s="87"/>
      <c r="O41" s="88"/>
      <c r="P41" s="1"/>
    </row>
    <row r="42" ht="15.75" customHeight="1">
      <c r="A42" s="40"/>
      <c r="B42" s="83"/>
      <c r="J42" s="47"/>
      <c r="K42" s="84"/>
      <c r="L42" s="85" t="b">
        <v>0</v>
      </c>
      <c r="M42" s="86"/>
      <c r="N42" s="87"/>
      <c r="O42" s="88"/>
      <c r="P42" s="1"/>
    </row>
    <row r="43" ht="15.75" customHeight="1">
      <c r="A43" s="40"/>
      <c r="B43" s="83"/>
      <c r="J43" s="47"/>
      <c r="K43" s="84"/>
      <c r="L43" s="85" t="b">
        <v>0</v>
      </c>
      <c r="M43" s="86"/>
      <c r="N43" s="87"/>
      <c r="O43" s="88"/>
      <c r="P43" s="1"/>
    </row>
    <row r="44" ht="15.75" customHeight="1">
      <c r="A44" s="40"/>
      <c r="B44" s="83"/>
      <c r="J44" s="47"/>
      <c r="K44" s="84"/>
      <c r="L44" s="85" t="b">
        <v>0</v>
      </c>
      <c r="M44" s="86"/>
      <c r="N44" s="87"/>
      <c r="O44" s="88"/>
      <c r="P44" s="1"/>
    </row>
    <row r="45" ht="15.75" customHeight="1">
      <c r="A45" s="40"/>
      <c r="B45" s="83"/>
      <c r="J45" s="47"/>
      <c r="K45" s="84"/>
      <c r="L45" s="85" t="b">
        <v>0</v>
      </c>
      <c r="M45" s="86"/>
      <c r="N45" s="87"/>
      <c r="O45" s="88"/>
      <c r="P45" s="1"/>
    </row>
    <row r="46" ht="15.75" customHeight="1">
      <c r="A46" s="40"/>
      <c r="B46" s="83"/>
      <c r="J46" s="47"/>
      <c r="K46" s="84"/>
      <c r="L46" s="85" t="b">
        <v>0</v>
      </c>
      <c r="M46" s="86"/>
      <c r="N46" s="87"/>
      <c r="O46" s="88"/>
      <c r="P46" s="1"/>
    </row>
    <row r="47" ht="15.75" customHeight="1">
      <c r="A47" s="40"/>
      <c r="B47" s="83"/>
      <c r="J47" s="47"/>
      <c r="K47" s="84"/>
      <c r="L47" s="85" t="b">
        <v>0</v>
      </c>
      <c r="M47" s="86"/>
      <c r="N47" s="87"/>
      <c r="O47" s="88"/>
      <c r="P47" s="1"/>
    </row>
    <row r="48" ht="15.75" customHeight="1">
      <c r="A48" s="40"/>
      <c r="B48" s="83"/>
      <c r="J48" s="47"/>
      <c r="K48" s="84"/>
      <c r="L48" s="85" t="b">
        <v>0</v>
      </c>
      <c r="M48" s="86"/>
      <c r="N48" s="87"/>
      <c r="O48" s="88"/>
      <c r="P48" s="1"/>
    </row>
    <row r="49" ht="15.75" customHeight="1">
      <c r="A49" s="40"/>
      <c r="B49" s="83"/>
      <c r="J49" s="47"/>
      <c r="K49" s="84"/>
      <c r="L49" s="85" t="b">
        <v>0</v>
      </c>
      <c r="M49" s="86"/>
      <c r="N49" s="87"/>
      <c r="O49" s="88"/>
      <c r="P49" s="1"/>
    </row>
    <row r="50" ht="15.75" customHeight="1">
      <c r="A50" s="40"/>
      <c r="B50" s="83"/>
      <c r="J50" s="47"/>
      <c r="K50" s="84"/>
      <c r="L50" s="85" t="b">
        <v>0</v>
      </c>
      <c r="M50" s="86"/>
      <c r="N50" s="87"/>
      <c r="O50" s="88"/>
      <c r="P50" s="1"/>
    </row>
    <row r="51" ht="15.75" customHeight="1">
      <c r="A51" s="40"/>
      <c r="B51" s="89"/>
      <c r="C51" s="16"/>
      <c r="D51" s="16"/>
      <c r="E51" s="16"/>
      <c r="F51" s="16"/>
      <c r="G51" s="16"/>
      <c r="H51" s="16"/>
      <c r="I51" s="16"/>
      <c r="J51" s="90"/>
      <c r="K51" s="91"/>
      <c r="L51" s="92" t="b">
        <v>0</v>
      </c>
      <c r="M51" s="93"/>
      <c r="N51" s="94"/>
      <c r="O51" s="95"/>
      <c r="P51" s="40"/>
    </row>
    <row r="52" ht="15.75" customHeight="1">
      <c r="A52" s="40"/>
      <c r="B52" s="96"/>
      <c r="C52" s="96"/>
      <c r="D52" s="96"/>
      <c r="E52" s="96"/>
      <c r="F52" s="96"/>
      <c r="G52" s="96"/>
      <c r="H52" s="96"/>
      <c r="I52" s="1"/>
      <c r="J52" s="1"/>
      <c r="K52" s="1"/>
      <c r="L52" s="1"/>
      <c r="M52" s="1"/>
      <c r="N52" s="97"/>
      <c r="O52" s="97"/>
      <c r="P52" s="40"/>
    </row>
    <row r="53" ht="15.75" customHeight="1">
      <c r="A53" s="40"/>
      <c r="B53" s="98" t="s">
        <v>58</v>
      </c>
      <c r="C53" s="99"/>
      <c r="D53" s="99"/>
      <c r="E53" s="99"/>
      <c r="F53" s="99"/>
      <c r="G53" s="99"/>
      <c r="H53" s="99"/>
      <c r="I53" s="100"/>
      <c r="J53" s="101" t="s">
        <v>59</v>
      </c>
      <c r="K53" s="102"/>
      <c r="L53" s="1"/>
      <c r="M53" s="1"/>
      <c r="N53" s="97"/>
      <c r="O53" s="97"/>
      <c r="P53" s="40"/>
    </row>
    <row r="54" ht="15.75" customHeight="1">
      <c r="A54" s="40"/>
      <c r="B54" s="103" t="s">
        <v>60</v>
      </c>
      <c r="C54" s="104" t="s">
        <v>61</v>
      </c>
      <c r="D54" s="105"/>
      <c r="E54" s="106"/>
      <c r="F54" s="104" t="s">
        <v>62</v>
      </c>
      <c r="G54" s="105"/>
      <c r="H54" s="107"/>
      <c r="I54" s="100"/>
      <c r="J54" s="108" t="s">
        <v>63</v>
      </c>
      <c r="K54" s="109"/>
      <c r="L54" s="110"/>
      <c r="M54" s="111" t="s">
        <v>64</v>
      </c>
      <c r="N54" s="109"/>
      <c r="O54" s="102"/>
      <c r="P54" s="40"/>
    </row>
    <row r="55" ht="15.75" customHeight="1">
      <c r="A55" s="40"/>
      <c r="B55" s="112"/>
      <c r="C55" s="113" t="s">
        <v>65</v>
      </c>
      <c r="D55" s="114" t="s">
        <v>66</v>
      </c>
      <c r="E55" s="115" t="s">
        <v>67</v>
      </c>
      <c r="F55" s="113" t="s">
        <v>65</v>
      </c>
      <c r="G55" s="114" t="s">
        <v>66</v>
      </c>
      <c r="H55" s="116" t="s">
        <v>67</v>
      </c>
      <c r="I55" s="110"/>
      <c r="J55" s="117" t="str">
        <f t="array" ref="J55">GPA({$K$10:$K$51,$M$10:$M$51,$O$10:$O$51},1,2)</f>
        <v>Loading...</v>
      </c>
      <c r="K55" s="118"/>
      <c r="L55" s="110"/>
      <c r="M55" s="119" t="str">
        <f t="array" ref="M55">CREDITSSUM({$K$10:$K$51,$M$10:$M$51},1,2)</f>
        <v>Loading...</v>
      </c>
      <c r="N55" s="118"/>
      <c r="O55" s="120"/>
      <c r="P55" s="40"/>
    </row>
    <row r="56" ht="15.75" customHeight="1">
      <c r="A56" s="40"/>
      <c r="B56" s="132" t="s">
        <v>68</v>
      </c>
      <c r="C56" s="122"/>
      <c r="D56" s="84"/>
      <c r="E56" s="123"/>
      <c r="F56" s="86"/>
      <c r="G56" s="84"/>
      <c r="H56" s="124"/>
      <c r="I56" s="134" t="s">
        <v>73</v>
      </c>
      <c r="J56" s="135"/>
      <c r="K56" s="1"/>
      <c r="L56" s="1"/>
      <c r="M56" s="1"/>
      <c r="N56" s="1"/>
      <c r="O56" s="1"/>
      <c r="P56" s="40"/>
    </row>
    <row r="57" ht="15.75" customHeight="1">
      <c r="A57" s="73"/>
      <c r="B57" s="132" t="s">
        <v>69</v>
      </c>
      <c r="C57" s="122"/>
      <c r="D57" s="84"/>
      <c r="E57" s="123"/>
      <c r="F57" s="86"/>
      <c r="G57" s="84"/>
      <c r="H57" s="124"/>
      <c r="I57" s="136"/>
      <c r="J57" s="137"/>
      <c r="K57" s="137"/>
      <c r="L57" s="137"/>
      <c r="M57" s="137"/>
      <c r="N57" s="137"/>
      <c r="O57" s="138"/>
      <c r="P57" s="40"/>
    </row>
    <row r="58" ht="15.75" customHeight="1">
      <c r="A58" s="73"/>
      <c r="B58" s="121" t="s">
        <v>70</v>
      </c>
      <c r="C58" s="122"/>
      <c r="D58" s="84"/>
      <c r="E58" s="123"/>
      <c r="F58" s="86"/>
      <c r="G58" s="84"/>
      <c r="H58" s="124"/>
      <c r="O58" s="139"/>
      <c r="P58" s="40"/>
    </row>
    <row r="59" ht="15.75" customHeight="1">
      <c r="A59" s="73"/>
      <c r="B59" s="125" t="s">
        <v>71</v>
      </c>
      <c r="C59" s="126"/>
      <c r="D59" s="127"/>
      <c r="E59" s="128"/>
      <c r="F59" s="129"/>
      <c r="G59" s="127"/>
      <c r="H59" s="130"/>
      <c r="I59" s="140"/>
      <c r="J59" s="140"/>
      <c r="K59" s="140"/>
      <c r="L59" s="140"/>
      <c r="M59" s="140"/>
      <c r="N59" s="140"/>
      <c r="O59" s="135"/>
      <c r="P59" s="40"/>
    </row>
    <row r="60" ht="15.75" customHeight="1">
      <c r="A60" s="40"/>
      <c r="B60" s="96"/>
      <c r="C60" s="96"/>
      <c r="D60" s="96"/>
      <c r="E60" s="96"/>
      <c r="F60" s="96"/>
      <c r="G60" s="96"/>
      <c r="H60" s="96"/>
      <c r="I60" s="97"/>
      <c r="J60" s="97"/>
      <c r="K60" s="97"/>
      <c r="L60" s="131"/>
      <c r="M60" s="97"/>
      <c r="N60" s="97"/>
      <c r="O60" s="97"/>
      <c r="P60" s="40"/>
    </row>
    <row r="61" ht="15.75" customHeight="1">
      <c r="A61" s="40"/>
      <c r="B61" s="96"/>
      <c r="C61" s="96"/>
      <c r="D61" s="96"/>
      <c r="E61" s="96"/>
      <c r="F61" s="96"/>
      <c r="G61" s="96"/>
      <c r="H61" s="96"/>
      <c r="I61" s="97"/>
      <c r="J61" s="97"/>
      <c r="K61" s="97"/>
      <c r="L61" s="131"/>
      <c r="M61" s="97"/>
      <c r="N61" s="97"/>
      <c r="O61" s="97"/>
      <c r="P61" s="40"/>
    </row>
  </sheetData>
  <mergeCells count="71">
    <mergeCell ref="B42:J42"/>
    <mergeCell ref="B43:J43"/>
    <mergeCell ref="B44:J44"/>
    <mergeCell ref="B45:J45"/>
    <mergeCell ref="B46:J46"/>
    <mergeCell ref="B47:J47"/>
    <mergeCell ref="B48:J48"/>
    <mergeCell ref="J54:K54"/>
    <mergeCell ref="M54:O54"/>
    <mergeCell ref="M55:O55"/>
    <mergeCell ref="I56:J56"/>
    <mergeCell ref="I57:O59"/>
    <mergeCell ref="B49:J49"/>
    <mergeCell ref="B50:J50"/>
    <mergeCell ref="B51:J51"/>
    <mergeCell ref="J53:K53"/>
    <mergeCell ref="B54:B55"/>
    <mergeCell ref="C54:E54"/>
    <mergeCell ref="F54:H54"/>
    <mergeCell ref="J55:K55"/>
    <mergeCell ref="C1:H2"/>
    <mergeCell ref="I1:O2"/>
    <mergeCell ref="C3:E3"/>
    <mergeCell ref="F3:H3"/>
    <mergeCell ref="I3:J3"/>
    <mergeCell ref="K3:O3"/>
    <mergeCell ref="C4:E4"/>
    <mergeCell ref="K4:O4"/>
    <mergeCell ref="F4:H4"/>
    <mergeCell ref="I4:J4"/>
    <mergeCell ref="C5:E6"/>
    <mergeCell ref="F5:H6"/>
    <mergeCell ref="I5:J6"/>
    <mergeCell ref="K5:O6"/>
    <mergeCell ref="C7:E8"/>
    <mergeCell ref="K7:O8"/>
    <mergeCell ref="F7:H8"/>
    <mergeCell ref="I7:J8"/>
    <mergeCell ref="B9:J9"/>
    <mergeCell ref="B10:J10"/>
    <mergeCell ref="B11:J11"/>
    <mergeCell ref="B12:J12"/>
    <mergeCell ref="B13:J13"/>
    <mergeCell ref="B14:J14"/>
    <mergeCell ref="B15:J15"/>
    <mergeCell ref="B16:J16"/>
    <mergeCell ref="B17:J17"/>
    <mergeCell ref="B18:J18"/>
    <mergeCell ref="B19:J19"/>
    <mergeCell ref="B20:J20"/>
    <mergeCell ref="B21:J21"/>
    <mergeCell ref="B22:J22"/>
    <mergeCell ref="B23:J23"/>
    <mergeCell ref="B24:J24"/>
    <mergeCell ref="B25:J25"/>
    <mergeCell ref="B26:J26"/>
    <mergeCell ref="B27:J27"/>
    <mergeCell ref="B28:J28"/>
    <mergeCell ref="B29:J29"/>
    <mergeCell ref="B30:J30"/>
    <mergeCell ref="B31:J31"/>
    <mergeCell ref="B32:J32"/>
    <mergeCell ref="B33:J33"/>
    <mergeCell ref="B34:J34"/>
    <mergeCell ref="B35:J35"/>
    <mergeCell ref="B36:J36"/>
    <mergeCell ref="B37:J37"/>
    <mergeCell ref="B38:J38"/>
    <mergeCell ref="B39:J39"/>
    <mergeCell ref="B40:J40"/>
    <mergeCell ref="B41:J41"/>
  </mergeCells>
  <dataValidations>
    <dataValidation type="custom" allowBlank="1" showDropDown="1" showInputMessage="1" showErrorMessage="1" prompt="Enter a number" sqref="K10:K50 O10:O51">
      <formula1>ISNUMBER(K10)</formula1>
    </dataValidation>
    <dataValidation type="list" allowBlank="1" showInputMessage="1" showErrorMessage="1" prompt="Click and enter a valid scale from the list of items. The valid scales are Letter, 0-100, 0-4, and None" sqref="B3">
      <formula1>"Letter,0-4,0-100,None"</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8.88"/>
    <col customWidth="1" min="3" max="8" width="6.38"/>
    <col customWidth="1" hidden="1" min="9" max="9" width="18.88"/>
    <col customWidth="1" min="10" max="10" width="18.88"/>
    <col customWidth="1" min="11" max="11" width="6.38"/>
    <col customWidth="1" hidden="1" min="12" max="12" width="18.88"/>
    <col customWidth="1" min="13" max="13" width="6.38"/>
    <col customWidth="1" hidden="1" min="14" max="14" width="6.38"/>
    <col customWidth="1" min="15" max="15" width="6.38"/>
  </cols>
  <sheetData>
    <row r="1" ht="31.5" customHeight="1">
      <c r="A1" s="58"/>
      <c r="B1" s="1"/>
      <c r="C1" s="71" t="s">
        <v>5</v>
      </c>
      <c r="I1" s="58" t="s">
        <v>6</v>
      </c>
      <c r="P1" s="72"/>
    </row>
    <row r="2" ht="15.75" customHeight="1">
      <c r="A2" s="73"/>
      <c r="B2" s="74" t="s">
        <v>50</v>
      </c>
      <c r="C2" s="59" t="s">
        <v>8</v>
      </c>
      <c r="F2" s="60" t="str">
        <f>'Getting Started'!$G$10</f>
        <v/>
      </c>
      <c r="I2" s="59" t="s">
        <v>9</v>
      </c>
      <c r="K2" s="60" t="str">
        <f>'Getting Started'!$I$10</f>
        <v/>
      </c>
      <c r="P2" s="40"/>
    </row>
    <row r="3" ht="15.75" customHeight="1">
      <c r="A3" s="73"/>
      <c r="B3" s="75" t="s">
        <v>51</v>
      </c>
      <c r="C3" s="59" t="s">
        <v>11</v>
      </c>
      <c r="F3" s="61" t="str">
        <f>'Getting Started'!$G$11</f>
        <v/>
      </c>
      <c r="I3" s="59" t="s">
        <v>12</v>
      </c>
      <c r="K3" s="60" t="str">
        <f>'Getting Started'!$I$11</f>
        <v/>
      </c>
      <c r="P3" s="40"/>
    </row>
    <row r="4" ht="31.5" customHeight="1">
      <c r="A4" s="73"/>
      <c r="B4" s="1"/>
      <c r="C4" s="59" t="s">
        <v>13</v>
      </c>
      <c r="F4" s="60" t="str">
        <f>'Getting Started'!$G$12</f>
        <v/>
      </c>
      <c r="I4" s="59" t="s">
        <v>14</v>
      </c>
      <c r="K4" s="60" t="str">
        <f>'Getting Started'!$I$12</f>
        <v/>
      </c>
      <c r="P4" s="40"/>
    </row>
    <row r="5" ht="15.75" customHeight="1">
      <c r="A5" s="73"/>
      <c r="B5" s="1"/>
      <c r="C5" s="59" t="s">
        <v>15</v>
      </c>
      <c r="F5" s="62" t="str">
        <f>'Getting Started'!$G$14</f>
        <v/>
      </c>
      <c r="I5" s="59" t="s">
        <v>16</v>
      </c>
      <c r="K5" s="60" t="str">
        <f>'Getting Started'!$I$14</f>
        <v/>
      </c>
      <c r="P5" s="40"/>
    </row>
    <row r="6" ht="15.75" customHeight="1">
      <c r="A6" s="73"/>
      <c r="B6" s="19" t="s">
        <v>74</v>
      </c>
      <c r="P6" s="40"/>
    </row>
    <row r="7" ht="31.5" customHeight="1">
      <c r="A7" s="40"/>
      <c r="B7" s="76" t="s">
        <v>53</v>
      </c>
      <c r="C7" s="8"/>
      <c r="D7" s="8"/>
      <c r="E7" s="8"/>
      <c r="F7" s="8"/>
      <c r="G7" s="8"/>
      <c r="H7" s="8"/>
      <c r="I7" s="8"/>
      <c r="J7" s="77"/>
      <c r="K7" s="78" t="s">
        <v>54</v>
      </c>
      <c r="L7" s="79" t="s">
        <v>55</v>
      </c>
      <c r="M7" s="80" t="s">
        <v>56</v>
      </c>
      <c r="N7" s="81"/>
      <c r="O7" s="82" t="s">
        <v>57</v>
      </c>
      <c r="P7" s="1"/>
    </row>
    <row r="8" ht="15.75" customHeight="1">
      <c r="A8" s="40"/>
      <c r="B8" s="83"/>
      <c r="J8" s="47"/>
      <c r="K8" s="84"/>
      <c r="L8" s="85"/>
      <c r="M8" s="86"/>
      <c r="N8" s="87"/>
      <c r="O8" s="88"/>
      <c r="P8" s="1"/>
    </row>
    <row r="9" ht="15.75" customHeight="1">
      <c r="A9" s="40"/>
      <c r="B9" s="141"/>
      <c r="J9" s="47"/>
      <c r="K9" s="84"/>
      <c r="L9" s="85" t="b">
        <v>0</v>
      </c>
      <c r="M9" s="86"/>
      <c r="N9" s="142"/>
      <c r="O9" s="88"/>
      <c r="P9" s="40"/>
    </row>
    <row r="10" ht="15.75" customHeight="1">
      <c r="A10" s="40"/>
      <c r="B10" s="141"/>
      <c r="J10" s="47"/>
      <c r="K10" s="84"/>
      <c r="L10" s="143" t="b">
        <v>0</v>
      </c>
      <c r="M10" s="86"/>
      <c r="N10" s="142"/>
      <c r="O10" s="144"/>
      <c r="P10" s="40"/>
    </row>
    <row r="11" ht="15.75" customHeight="1">
      <c r="A11" s="40"/>
      <c r="B11" s="141"/>
      <c r="J11" s="47"/>
      <c r="K11" s="145"/>
      <c r="L11" s="143" t="b">
        <v>0</v>
      </c>
      <c r="M11" s="146"/>
      <c r="N11" s="142"/>
      <c r="O11" s="144"/>
      <c r="P11" s="40"/>
    </row>
    <row r="12" ht="15.75" customHeight="1">
      <c r="A12" s="40"/>
      <c r="B12" s="141"/>
      <c r="J12" s="47"/>
      <c r="K12" s="145"/>
      <c r="L12" s="85" t="b">
        <v>0</v>
      </c>
      <c r="M12" s="146"/>
      <c r="N12" s="142"/>
      <c r="O12" s="144"/>
      <c r="P12" s="40"/>
    </row>
    <row r="13" ht="15.75" customHeight="1">
      <c r="A13" s="40"/>
      <c r="B13" s="141"/>
      <c r="J13" s="47"/>
      <c r="K13" s="145"/>
      <c r="L13" s="85" t="b">
        <v>0</v>
      </c>
      <c r="M13" s="146"/>
      <c r="N13" s="142"/>
      <c r="O13" s="144"/>
      <c r="P13" s="40"/>
    </row>
    <row r="14" ht="15.75" customHeight="1">
      <c r="A14" s="40"/>
      <c r="B14" s="141"/>
      <c r="J14" s="47"/>
      <c r="K14" s="145"/>
      <c r="L14" s="85" t="b">
        <v>0</v>
      </c>
      <c r="M14" s="146"/>
      <c r="N14" s="142"/>
      <c r="O14" s="144"/>
      <c r="P14" s="40"/>
    </row>
    <row r="15" ht="15.75" customHeight="1">
      <c r="A15" s="40"/>
      <c r="B15" s="141"/>
      <c r="J15" s="47"/>
      <c r="K15" s="145"/>
      <c r="L15" s="143" t="b">
        <v>0</v>
      </c>
      <c r="M15" s="146"/>
      <c r="N15" s="142"/>
      <c r="O15" s="144"/>
      <c r="P15" s="40"/>
    </row>
    <row r="16" ht="15.75" customHeight="1">
      <c r="A16" s="40"/>
      <c r="B16" s="141"/>
      <c r="J16" s="47"/>
      <c r="K16" s="145"/>
      <c r="L16" s="143" t="b">
        <v>0</v>
      </c>
      <c r="M16" s="146"/>
      <c r="N16" s="142"/>
      <c r="O16" s="144"/>
      <c r="P16" s="40"/>
    </row>
    <row r="17" ht="15.75" customHeight="1">
      <c r="A17" s="40"/>
      <c r="B17" s="141"/>
      <c r="J17" s="47"/>
      <c r="K17" s="145"/>
      <c r="L17" s="143" t="b">
        <v>0</v>
      </c>
      <c r="M17" s="146"/>
      <c r="N17" s="142"/>
      <c r="O17" s="144"/>
      <c r="P17" s="40"/>
    </row>
    <row r="18" ht="15.75" customHeight="1">
      <c r="A18" s="40"/>
      <c r="B18" s="141"/>
      <c r="J18" s="47"/>
      <c r="K18" s="145"/>
      <c r="L18" s="143" t="b">
        <v>0</v>
      </c>
      <c r="M18" s="146"/>
      <c r="N18" s="142"/>
      <c r="O18" s="144"/>
      <c r="P18" s="40"/>
    </row>
    <row r="19" ht="15.75" customHeight="1">
      <c r="A19" s="40"/>
      <c r="B19" s="141"/>
      <c r="J19" s="47"/>
      <c r="K19" s="145"/>
      <c r="L19" s="143" t="b">
        <v>0</v>
      </c>
      <c r="M19" s="146"/>
      <c r="N19" s="142"/>
      <c r="O19" s="144"/>
      <c r="P19" s="40"/>
    </row>
    <row r="20" ht="15.75" customHeight="1">
      <c r="A20" s="40"/>
      <c r="B20" s="141"/>
      <c r="J20" s="47"/>
      <c r="K20" s="145"/>
      <c r="L20" s="143" t="b">
        <v>0</v>
      </c>
      <c r="M20" s="146"/>
      <c r="N20" s="142"/>
      <c r="O20" s="144"/>
      <c r="P20" s="40"/>
    </row>
    <row r="21" ht="15.75" customHeight="1">
      <c r="A21" s="40"/>
      <c r="B21" s="141"/>
      <c r="J21" s="47"/>
      <c r="K21" s="145"/>
      <c r="L21" s="143" t="b">
        <v>0</v>
      </c>
      <c r="M21" s="146"/>
      <c r="N21" s="142"/>
      <c r="O21" s="144"/>
      <c r="P21" s="40"/>
    </row>
    <row r="22" ht="15.75" customHeight="1">
      <c r="A22" s="40"/>
      <c r="B22" s="141"/>
      <c r="J22" s="47"/>
      <c r="K22" s="145"/>
      <c r="L22" s="143" t="b">
        <v>0</v>
      </c>
      <c r="M22" s="146"/>
      <c r="N22" s="142"/>
      <c r="O22" s="144"/>
      <c r="P22" s="40"/>
    </row>
    <row r="23" ht="15.75" customHeight="1">
      <c r="A23" s="40"/>
      <c r="B23" s="141"/>
      <c r="J23" s="47"/>
      <c r="K23" s="145"/>
      <c r="L23" s="143" t="b">
        <v>0</v>
      </c>
      <c r="M23" s="146"/>
      <c r="N23" s="142"/>
      <c r="O23" s="144"/>
      <c r="P23" s="40"/>
    </row>
    <row r="24" ht="15.75" customHeight="1">
      <c r="A24" s="40"/>
      <c r="B24" s="141"/>
      <c r="J24" s="47"/>
      <c r="K24" s="145"/>
      <c r="L24" s="143" t="b">
        <v>0</v>
      </c>
      <c r="M24" s="146"/>
      <c r="N24" s="142"/>
      <c r="O24" s="144"/>
      <c r="P24" s="40"/>
    </row>
    <row r="25" ht="15.75" customHeight="1">
      <c r="A25" s="40"/>
      <c r="B25" s="89"/>
      <c r="C25" s="16"/>
      <c r="D25" s="16"/>
      <c r="E25" s="16"/>
      <c r="F25" s="16"/>
      <c r="G25" s="16"/>
      <c r="H25" s="16"/>
      <c r="I25" s="16"/>
      <c r="J25" s="90"/>
      <c r="K25" s="91"/>
      <c r="L25" s="92" t="b">
        <v>0</v>
      </c>
      <c r="M25" s="93"/>
      <c r="N25" s="94"/>
      <c r="O25" s="95"/>
      <c r="P25" s="40"/>
    </row>
    <row r="26" ht="15.75" customHeight="1">
      <c r="A26" s="40"/>
      <c r="B26" s="96"/>
      <c r="C26" s="1"/>
      <c r="D26" s="1"/>
      <c r="E26" s="1"/>
      <c r="F26" s="1"/>
      <c r="G26" s="1"/>
      <c r="H26" s="1"/>
      <c r="I26" s="1"/>
      <c r="J26" s="101" t="s">
        <v>75</v>
      </c>
      <c r="K26" s="102"/>
      <c r="L26" s="1"/>
      <c r="M26" s="1"/>
      <c r="N26" s="97"/>
      <c r="O26" s="97"/>
      <c r="P26" s="40"/>
    </row>
    <row r="27" ht="15.75" customHeight="1">
      <c r="A27" s="40"/>
      <c r="B27" s="96"/>
      <c r="C27" s="100"/>
      <c r="D27" s="100"/>
      <c r="E27" s="100"/>
      <c r="F27" s="100"/>
      <c r="G27" s="100"/>
      <c r="H27" s="100"/>
      <c r="I27" s="100"/>
      <c r="J27" s="108" t="s">
        <v>63</v>
      </c>
      <c r="K27" s="109"/>
      <c r="L27" s="110"/>
      <c r="M27" s="111" t="s">
        <v>64</v>
      </c>
      <c r="N27" s="109"/>
      <c r="O27" s="102"/>
      <c r="P27" s="40"/>
    </row>
    <row r="28" ht="15.75" customHeight="1">
      <c r="A28" s="40"/>
      <c r="B28" s="19" t="s">
        <v>76</v>
      </c>
      <c r="C28" s="100"/>
      <c r="D28" s="100"/>
      <c r="E28" s="100"/>
      <c r="F28" s="100"/>
      <c r="G28" s="100"/>
      <c r="H28" s="100"/>
      <c r="I28" s="100"/>
      <c r="J28" s="117" t="str">
        <f t="array" ref="J28">GPA({K8:K25,M8:M25,O8:O25},1,2)</f>
        <v>Loading...</v>
      </c>
      <c r="K28" s="118"/>
      <c r="L28" s="110"/>
      <c r="M28" s="119" t="str">
        <f t="array" ref="M28">CREDITSSUM({K8:K25,M8:M25},1,2)</f>
        <v>Loading...</v>
      </c>
      <c r="N28" s="118"/>
      <c r="O28" s="120"/>
      <c r="P28" s="40"/>
    </row>
    <row r="29" ht="31.5" customHeight="1">
      <c r="A29" s="40"/>
      <c r="B29" s="76" t="s">
        <v>53</v>
      </c>
      <c r="C29" s="8"/>
      <c r="D29" s="8"/>
      <c r="E29" s="8"/>
      <c r="F29" s="8"/>
      <c r="G29" s="8"/>
      <c r="H29" s="8"/>
      <c r="I29" s="8"/>
      <c r="J29" s="77"/>
      <c r="K29" s="78" t="s">
        <v>54</v>
      </c>
      <c r="L29" s="79" t="s">
        <v>55</v>
      </c>
      <c r="M29" s="80" t="s">
        <v>56</v>
      </c>
      <c r="N29" s="81"/>
      <c r="O29" s="82" t="s">
        <v>57</v>
      </c>
      <c r="P29" s="1"/>
    </row>
    <row r="30" ht="15.75" customHeight="1">
      <c r="A30" s="40"/>
      <c r="B30" s="83"/>
      <c r="J30" s="47"/>
      <c r="K30" s="84"/>
      <c r="L30" s="85"/>
      <c r="M30" s="86"/>
      <c r="N30" s="87"/>
      <c r="O30" s="88"/>
      <c r="P30" s="1"/>
    </row>
    <row r="31" ht="15.75" customHeight="1">
      <c r="A31" s="40"/>
      <c r="B31" s="141"/>
      <c r="J31" s="47"/>
      <c r="K31" s="84"/>
      <c r="L31" s="85" t="b">
        <v>0</v>
      </c>
      <c r="M31" s="86"/>
      <c r="N31" s="142"/>
      <c r="O31" s="88"/>
      <c r="P31" s="40"/>
    </row>
    <row r="32" ht="15.75" customHeight="1">
      <c r="A32" s="40"/>
      <c r="B32" s="141"/>
      <c r="J32" s="47"/>
      <c r="K32" s="84"/>
      <c r="L32" s="143" t="b">
        <v>0</v>
      </c>
      <c r="M32" s="86"/>
      <c r="N32" s="142"/>
      <c r="O32" s="144"/>
      <c r="P32" s="40"/>
    </row>
    <row r="33" ht="15.75" customHeight="1">
      <c r="A33" s="40"/>
      <c r="B33" s="141"/>
      <c r="J33" s="47"/>
      <c r="K33" s="145"/>
      <c r="L33" s="143" t="b">
        <v>0</v>
      </c>
      <c r="M33" s="146"/>
      <c r="N33" s="142"/>
      <c r="O33" s="144"/>
      <c r="P33" s="40"/>
    </row>
    <row r="34" ht="15.75" customHeight="1">
      <c r="A34" s="40"/>
      <c r="B34" s="141"/>
      <c r="J34" s="47"/>
      <c r="K34" s="145"/>
      <c r="L34" s="85" t="b">
        <v>0</v>
      </c>
      <c r="M34" s="146"/>
      <c r="N34" s="142"/>
      <c r="O34" s="144"/>
      <c r="P34" s="40"/>
    </row>
    <row r="35" ht="15.75" customHeight="1">
      <c r="A35" s="40"/>
      <c r="B35" s="141"/>
      <c r="J35" s="47"/>
      <c r="K35" s="145"/>
      <c r="L35" s="85" t="b">
        <v>0</v>
      </c>
      <c r="M35" s="146"/>
      <c r="N35" s="142"/>
      <c r="O35" s="144"/>
      <c r="P35" s="40"/>
    </row>
    <row r="36" ht="15.75" customHeight="1">
      <c r="A36" s="40"/>
      <c r="B36" s="141"/>
      <c r="J36" s="47"/>
      <c r="K36" s="145"/>
      <c r="L36" s="85" t="b">
        <v>0</v>
      </c>
      <c r="M36" s="146"/>
      <c r="N36" s="142"/>
      <c r="O36" s="144"/>
      <c r="P36" s="40"/>
    </row>
    <row r="37" ht="15.75" customHeight="1">
      <c r="A37" s="40"/>
      <c r="B37" s="141"/>
      <c r="J37" s="47"/>
      <c r="K37" s="146"/>
      <c r="L37" s="85" t="b">
        <v>0</v>
      </c>
      <c r="M37" s="146"/>
      <c r="N37" s="142"/>
      <c r="O37" s="144"/>
      <c r="P37" s="40"/>
    </row>
    <row r="38" ht="15.75" customHeight="1">
      <c r="A38" s="40"/>
      <c r="B38" s="141"/>
      <c r="J38" s="47"/>
      <c r="K38" s="145"/>
      <c r="L38" s="143" t="b">
        <v>0</v>
      </c>
      <c r="M38" s="146"/>
      <c r="N38" s="142"/>
      <c r="O38" s="144"/>
      <c r="P38" s="40"/>
    </row>
    <row r="39" ht="15.75" customHeight="1">
      <c r="A39" s="40"/>
      <c r="B39" s="141"/>
      <c r="J39" s="47"/>
      <c r="K39" s="145"/>
      <c r="L39" s="143" t="b">
        <v>0</v>
      </c>
      <c r="M39" s="146"/>
      <c r="N39" s="142"/>
      <c r="O39" s="144"/>
      <c r="P39" s="40"/>
    </row>
    <row r="40" ht="15.75" customHeight="1">
      <c r="A40" s="40"/>
      <c r="B40" s="141"/>
      <c r="J40" s="47"/>
      <c r="K40" s="145"/>
      <c r="L40" s="143" t="b">
        <v>0</v>
      </c>
      <c r="M40" s="146"/>
      <c r="N40" s="142"/>
      <c r="O40" s="144"/>
      <c r="P40" s="40"/>
    </row>
    <row r="41" ht="15.75" customHeight="1">
      <c r="A41" s="40"/>
      <c r="B41" s="141"/>
      <c r="J41" s="47"/>
      <c r="K41" s="145"/>
      <c r="L41" s="143" t="b">
        <v>0</v>
      </c>
      <c r="M41" s="146"/>
      <c r="N41" s="142"/>
      <c r="O41" s="144"/>
      <c r="P41" s="40"/>
    </row>
    <row r="42" ht="15.75" customHeight="1">
      <c r="A42" s="40"/>
      <c r="B42" s="141"/>
      <c r="J42" s="47"/>
      <c r="K42" s="145"/>
      <c r="L42" s="143" t="b">
        <v>0</v>
      </c>
      <c r="M42" s="146"/>
      <c r="N42" s="142"/>
      <c r="O42" s="144"/>
      <c r="P42" s="40"/>
    </row>
    <row r="43" ht="15.75" customHeight="1">
      <c r="A43" s="40"/>
      <c r="B43" s="141"/>
      <c r="J43" s="47"/>
      <c r="K43" s="145"/>
      <c r="L43" s="143" t="b">
        <v>0</v>
      </c>
      <c r="M43" s="146"/>
      <c r="N43" s="142"/>
      <c r="O43" s="144"/>
      <c r="P43" s="40"/>
    </row>
    <row r="44" ht="15.75" customHeight="1">
      <c r="A44" s="40"/>
      <c r="B44" s="141"/>
      <c r="J44" s="47"/>
      <c r="K44" s="145"/>
      <c r="L44" s="143" t="b">
        <v>0</v>
      </c>
      <c r="M44" s="146"/>
      <c r="N44" s="142"/>
      <c r="O44" s="144"/>
      <c r="P44" s="40"/>
    </row>
    <row r="45" ht="15.75" customHeight="1">
      <c r="A45" s="40"/>
      <c r="B45" s="141"/>
      <c r="J45" s="47"/>
      <c r="K45" s="145"/>
      <c r="L45" s="143" t="b">
        <v>0</v>
      </c>
      <c r="M45" s="146"/>
      <c r="N45" s="142"/>
      <c r="O45" s="144"/>
      <c r="P45" s="40"/>
    </row>
    <row r="46" ht="15.75" customHeight="1">
      <c r="A46" s="40"/>
      <c r="B46" s="141"/>
      <c r="J46" s="47"/>
      <c r="K46" s="145"/>
      <c r="L46" s="143" t="b">
        <v>0</v>
      </c>
      <c r="M46" s="146"/>
      <c r="N46" s="142"/>
      <c r="O46" s="144"/>
      <c r="P46" s="40"/>
    </row>
    <row r="47" ht="15.75" customHeight="1">
      <c r="A47" s="40"/>
      <c r="B47" s="89"/>
      <c r="C47" s="16"/>
      <c r="D47" s="16"/>
      <c r="E47" s="16"/>
      <c r="F47" s="16"/>
      <c r="G47" s="16"/>
      <c r="H47" s="16"/>
      <c r="I47" s="16"/>
      <c r="J47" s="90"/>
      <c r="K47" s="91"/>
      <c r="L47" s="92" t="b">
        <v>0</v>
      </c>
      <c r="M47" s="93"/>
      <c r="N47" s="94"/>
      <c r="O47" s="95"/>
      <c r="P47" s="40"/>
    </row>
    <row r="48" ht="15.75" customHeight="1">
      <c r="A48" s="40"/>
      <c r="B48" s="96"/>
      <c r="C48" s="1"/>
      <c r="D48" s="1"/>
      <c r="E48" s="1"/>
      <c r="F48" s="1"/>
      <c r="G48" s="1"/>
      <c r="H48" s="1"/>
      <c r="I48" s="1"/>
      <c r="J48" s="101" t="s">
        <v>77</v>
      </c>
      <c r="K48" s="102"/>
      <c r="L48" s="1"/>
      <c r="M48" s="1"/>
      <c r="N48" s="97"/>
      <c r="O48" s="97"/>
      <c r="P48" s="40"/>
    </row>
    <row r="49" ht="15.75" customHeight="1">
      <c r="A49" s="40"/>
      <c r="B49" s="1"/>
      <c r="C49" s="1"/>
      <c r="D49" s="1"/>
      <c r="E49" s="1"/>
      <c r="F49" s="1"/>
      <c r="G49" s="1"/>
      <c r="H49" s="1"/>
      <c r="I49" s="100"/>
      <c r="J49" s="108" t="s">
        <v>63</v>
      </c>
      <c r="K49" s="109"/>
      <c r="L49" s="110"/>
      <c r="M49" s="111" t="s">
        <v>64</v>
      </c>
      <c r="N49" s="109"/>
      <c r="O49" s="102"/>
      <c r="P49" s="40"/>
    </row>
    <row r="50" ht="15.75" customHeight="1">
      <c r="A50" s="40"/>
      <c r="B50" s="98" t="s">
        <v>58</v>
      </c>
      <c r="C50" s="99"/>
      <c r="D50" s="99"/>
      <c r="E50" s="99"/>
      <c r="F50" s="99"/>
      <c r="G50" s="99"/>
      <c r="H50" s="99"/>
      <c r="I50" s="100"/>
      <c r="J50" s="117" t="str">
        <f t="array" ref="J50">GPA({K30:K47,M30:M47,O30:O47},1,2)</f>
        <v>Loading...</v>
      </c>
      <c r="K50" s="118"/>
      <c r="L50" s="110"/>
      <c r="M50" s="119" t="str">
        <f t="array" ref="M50">CREDITSSUM({K30:K47,M30:M47},1,2)</f>
        <v>Loading...</v>
      </c>
      <c r="N50" s="118"/>
      <c r="O50" s="120"/>
      <c r="P50" s="40"/>
    </row>
    <row r="51" ht="15.75" customHeight="1">
      <c r="A51" s="40"/>
      <c r="B51" s="103" t="s">
        <v>60</v>
      </c>
      <c r="C51" s="104" t="s">
        <v>61</v>
      </c>
      <c r="D51" s="105"/>
      <c r="E51" s="106"/>
      <c r="F51" s="104" t="s">
        <v>62</v>
      </c>
      <c r="G51" s="105"/>
      <c r="H51" s="107"/>
      <c r="I51" s="110"/>
      <c r="J51" s="1"/>
      <c r="K51" s="1"/>
      <c r="L51" s="1"/>
      <c r="M51" s="1"/>
      <c r="N51" s="1"/>
      <c r="O51" s="1"/>
      <c r="P51" s="40"/>
    </row>
    <row r="52" ht="15.75" customHeight="1">
      <c r="A52" s="40"/>
      <c r="B52" s="112"/>
      <c r="C52" s="113" t="s">
        <v>65</v>
      </c>
      <c r="D52" s="114" t="s">
        <v>66</v>
      </c>
      <c r="E52" s="115" t="s">
        <v>67</v>
      </c>
      <c r="F52" s="113" t="s">
        <v>65</v>
      </c>
      <c r="G52" s="114" t="s">
        <v>66</v>
      </c>
      <c r="H52" s="116" t="s">
        <v>67</v>
      </c>
      <c r="I52" s="110"/>
      <c r="J52" s="1"/>
      <c r="K52" s="1"/>
      <c r="L52" s="1"/>
      <c r="M52" s="1"/>
      <c r="N52" s="1"/>
      <c r="O52" s="1"/>
      <c r="P52" s="40"/>
    </row>
    <row r="53" ht="15.75" customHeight="1">
      <c r="A53" s="40"/>
      <c r="B53" s="121" t="s">
        <v>68</v>
      </c>
      <c r="C53" s="122"/>
      <c r="D53" s="84"/>
      <c r="E53" s="123"/>
      <c r="F53" s="86"/>
      <c r="G53" s="84"/>
      <c r="H53" s="124"/>
      <c r="I53" s="110"/>
      <c r="J53" s="101" t="s">
        <v>59</v>
      </c>
      <c r="K53" s="102"/>
      <c r="L53" s="1"/>
      <c r="M53" s="1"/>
      <c r="N53" s="97"/>
      <c r="O53" s="97"/>
      <c r="P53" s="40"/>
    </row>
    <row r="54" ht="15.75" customHeight="1">
      <c r="A54" s="40"/>
      <c r="B54" s="125" t="s">
        <v>69</v>
      </c>
      <c r="C54" s="126"/>
      <c r="D54" s="127"/>
      <c r="E54" s="128"/>
      <c r="F54" s="129"/>
      <c r="G54" s="127"/>
      <c r="H54" s="130"/>
      <c r="I54" s="110"/>
      <c r="J54" s="108" t="s">
        <v>63</v>
      </c>
      <c r="K54" s="109"/>
      <c r="L54" s="110"/>
      <c r="M54" s="111" t="s">
        <v>64</v>
      </c>
      <c r="N54" s="109"/>
      <c r="O54" s="102"/>
      <c r="P54" s="40"/>
    </row>
    <row r="55" ht="15.75" customHeight="1">
      <c r="A55" s="40"/>
      <c r="I55" s="110"/>
      <c r="J55" s="117" t="str">
        <f t="array" ref="J55">GPA({K8:K25,M8:M25,O8:O25;K30:K47,M30:M47,O30:O47},1,2)</f>
        <v>Loading...</v>
      </c>
      <c r="K55" s="118"/>
      <c r="L55" s="110"/>
      <c r="M55" s="119" t="str">
        <f t="array" ref="M55">CREDITSSUM({K8:K25,M8:M25;K30:K47,M30:M47},1,2)</f>
        <v>Loading...</v>
      </c>
      <c r="N55" s="118"/>
      <c r="O55" s="120"/>
      <c r="P55" s="40"/>
    </row>
    <row r="56" ht="15.75" customHeight="1">
      <c r="A56" s="40"/>
      <c r="I56" s="97"/>
      <c r="J56" s="97"/>
      <c r="K56" s="97"/>
      <c r="L56" s="131"/>
      <c r="M56" s="97"/>
      <c r="N56" s="97"/>
      <c r="O56" s="97"/>
      <c r="P56" s="40"/>
    </row>
    <row r="57" ht="15.75" customHeight="1">
      <c r="A57" s="40"/>
      <c r="B57" s="96"/>
      <c r="C57" s="97"/>
      <c r="D57" s="97"/>
      <c r="E57" s="97"/>
      <c r="F57" s="97"/>
      <c r="G57" s="97"/>
      <c r="H57" s="97"/>
      <c r="I57" s="97"/>
      <c r="J57" s="97"/>
      <c r="K57" s="97"/>
      <c r="L57" s="131"/>
      <c r="M57" s="97"/>
      <c r="N57" s="97"/>
      <c r="O57" s="97"/>
      <c r="P57" s="40"/>
    </row>
    <row r="58" ht="15.75" customHeight="1">
      <c r="A58" s="40"/>
      <c r="B58" s="96"/>
      <c r="C58" s="97"/>
      <c r="D58" s="97"/>
      <c r="E58" s="97"/>
      <c r="F58" s="97"/>
      <c r="G58" s="97"/>
      <c r="H58" s="97"/>
      <c r="I58" s="97"/>
      <c r="J58" s="97"/>
      <c r="K58" s="97"/>
      <c r="L58" s="131"/>
      <c r="M58" s="97"/>
      <c r="N58" s="97"/>
      <c r="O58" s="97"/>
      <c r="P58" s="40"/>
    </row>
  </sheetData>
  <mergeCells count="74">
    <mergeCell ref="B36:J36"/>
    <mergeCell ref="B37:J37"/>
    <mergeCell ref="B38:J38"/>
    <mergeCell ref="B39:J39"/>
    <mergeCell ref="B40:J40"/>
    <mergeCell ref="B41:J41"/>
    <mergeCell ref="B42:J42"/>
    <mergeCell ref="J49:K49"/>
    <mergeCell ref="J50:K50"/>
    <mergeCell ref="M50:O50"/>
    <mergeCell ref="B51:B52"/>
    <mergeCell ref="C51:E51"/>
    <mergeCell ref="F51:H51"/>
    <mergeCell ref="J53:K53"/>
    <mergeCell ref="J54:K54"/>
    <mergeCell ref="M54:O54"/>
    <mergeCell ref="J55:K55"/>
    <mergeCell ref="M55:O55"/>
    <mergeCell ref="B43:J43"/>
    <mergeCell ref="B44:J44"/>
    <mergeCell ref="B45:J45"/>
    <mergeCell ref="B46:J46"/>
    <mergeCell ref="B47:J47"/>
    <mergeCell ref="J48:K48"/>
    <mergeCell ref="M49:O49"/>
    <mergeCell ref="C1:H1"/>
    <mergeCell ref="I1:O1"/>
    <mergeCell ref="C2:E2"/>
    <mergeCell ref="F2:H2"/>
    <mergeCell ref="I2:J2"/>
    <mergeCell ref="K2:O2"/>
    <mergeCell ref="C3:E3"/>
    <mergeCell ref="K3:O3"/>
    <mergeCell ref="F3:H3"/>
    <mergeCell ref="I3:J3"/>
    <mergeCell ref="C4:E4"/>
    <mergeCell ref="F4:H4"/>
    <mergeCell ref="I4:J4"/>
    <mergeCell ref="K4:O4"/>
    <mergeCell ref="C5:E6"/>
    <mergeCell ref="K5:O6"/>
    <mergeCell ref="F5:H6"/>
    <mergeCell ref="I5:J6"/>
    <mergeCell ref="B7:J7"/>
    <mergeCell ref="B8:J8"/>
    <mergeCell ref="B9:J9"/>
    <mergeCell ref="B10:J10"/>
    <mergeCell ref="B11:J11"/>
    <mergeCell ref="B12:J12"/>
    <mergeCell ref="B13:J13"/>
    <mergeCell ref="B14:J14"/>
    <mergeCell ref="B15:J15"/>
    <mergeCell ref="B16:J16"/>
    <mergeCell ref="B17:J17"/>
    <mergeCell ref="B18:J18"/>
    <mergeCell ref="J26:K26"/>
    <mergeCell ref="J27:K27"/>
    <mergeCell ref="M27:O27"/>
    <mergeCell ref="J28:K28"/>
    <mergeCell ref="M28:O28"/>
    <mergeCell ref="B19:J19"/>
    <mergeCell ref="B20:J20"/>
    <mergeCell ref="B21:J21"/>
    <mergeCell ref="B22:J22"/>
    <mergeCell ref="B23:J23"/>
    <mergeCell ref="B24:J24"/>
    <mergeCell ref="B25:J25"/>
    <mergeCell ref="B29:J29"/>
    <mergeCell ref="B30:J30"/>
    <mergeCell ref="B31:J31"/>
    <mergeCell ref="B32:J32"/>
    <mergeCell ref="B33:J33"/>
    <mergeCell ref="B34:J34"/>
    <mergeCell ref="B35:J35"/>
  </mergeCells>
  <dataValidations>
    <dataValidation type="custom" allowBlank="1" showDropDown="1" showInputMessage="1" showErrorMessage="1" prompt="Enter a number" sqref="K8:K16 O8:O25 K30:K39 O30:O47">
      <formula1>ISNUMBER(K8)</formula1>
    </dataValidation>
    <dataValidation type="list" allowBlank="1" showInputMessage="1" showErrorMessage="1" prompt="Click and enter a valid scale from the list of items. The valid scales are Letter, 0-100, 0-4, and None" sqref="B3">
      <formula1>"Letter,0-4,0-100,None"</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8.88"/>
    <col customWidth="1" min="3" max="8" width="6.38"/>
    <col customWidth="1" hidden="1" min="9" max="9" width="18.88"/>
    <col customWidth="1" min="10" max="10" width="18.88"/>
    <col customWidth="1" min="11" max="11" width="6.38"/>
    <col customWidth="1" hidden="1" min="12" max="12" width="18.88"/>
    <col customWidth="1" min="13" max="13" width="6.38"/>
    <col customWidth="1" hidden="1" min="14" max="14" width="6.38"/>
    <col customWidth="1" min="15" max="15" width="6.38"/>
  </cols>
  <sheetData>
    <row r="1" ht="31.5" customHeight="1">
      <c r="A1" s="58"/>
      <c r="B1" s="1"/>
      <c r="C1" s="71" t="s">
        <v>5</v>
      </c>
      <c r="I1" s="58" t="s">
        <v>6</v>
      </c>
      <c r="P1" s="72"/>
    </row>
    <row r="2" ht="15.75" customHeight="1">
      <c r="A2" s="73"/>
      <c r="B2" s="74" t="s">
        <v>50</v>
      </c>
      <c r="C2" s="59" t="s">
        <v>8</v>
      </c>
      <c r="F2" s="60" t="str">
        <f>'Getting Started'!$G$10</f>
        <v/>
      </c>
      <c r="I2" s="59" t="s">
        <v>9</v>
      </c>
      <c r="K2" s="60" t="str">
        <f>'Getting Started'!$I$10</f>
        <v/>
      </c>
      <c r="P2" s="40"/>
    </row>
    <row r="3" ht="15.75" customHeight="1">
      <c r="A3" s="73"/>
      <c r="B3" s="75" t="s">
        <v>51</v>
      </c>
      <c r="C3" s="59" t="s">
        <v>11</v>
      </c>
      <c r="F3" s="61" t="str">
        <f>'Getting Started'!$G$11</f>
        <v/>
      </c>
      <c r="I3" s="59" t="s">
        <v>12</v>
      </c>
      <c r="K3" s="60" t="str">
        <f>'Getting Started'!$I$11</f>
        <v/>
      </c>
      <c r="P3" s="40"/>
    </row>
    <row r="4" ht="31.5" customHeight="1">
      <c r="A4" s="73"/>
      <c r="B4" s="1"/>
      <c r="C4" s="59" t="s">
        <v>13</v>
      </c>
      <c r="F4" s="60" t="str">
        <f>'Getting Started'!$G$12</f>
        <v/>
      </c>
      <c r="I4" s="59" t="s">
        <v>14</v>
      </c>
      <c r="K4" s="60" t="str">
        <f>'Getting Started'!$I$12</f>
        <v/>
      </c>
      <c r="P4" s="40"/>
    </row>
    <row r="5" ht="15.75" customHeight="1">
      <c r="A5" s="73"/>
      <c r="B5" s="1"/>
      <c r="C5" s="59" t="s">
        <v>15</v>
      </c>
      <c r="F5" s="62" t="str">
        <f>'Getting Started'!$G$14</f>
        <v/>
      </c>
      <c r="I5" s="59" t="s">
        <v>16</v>
      </c>
      <c r="K5" s="60" t="str">
        <f>'Getting Started'!$I$14</f>
        <v/>
      </c>
      <c r="P5" s="40"/>
    </row>
    <row r="6" ht="15.75" customHeight="1">
      <c r="A6" s="73"/>
      <c r="B6" s="19" t="s">
        <v>74</v>
      </c>
      <c r="P6" s="40"/>
    </row>
    <row r="7" ht="31.5" customHeight="1">
      <c r="A7" s="40"/>
      <c r="B7" s="76" t="s">
        <v>53</v>
      </c>
      <c r="C7" s="8"/>
      <c r="D7" s="8"/>
      <c r="E7" s="8"/>
      <c r="F7" s="8"/>
      <c r="G7" s="8"/>
      <c r="H7" s="8"/>
      <c r="I7" s="8"/>
      <c r="J7" s="77"/>
      <c r="K7" s="78" t="s">
        <v>54</v>
      </c>
      <c r="L7" s="79" t="s">
        <v>55</v>
      </c>
      <c r="M7" s="80" t="s">
        <v>56</v>
      </c>
      <c r="N7" s="81"/>
      <c r="O7" s="82" t="s">
        <v>57</v>
      </c>
      <c r="P7" s="1"/>
    </row>
    <row r="8" ht="15.75" customHeight="1">
      <c r="A8" s="40"/>
      <c r="B8" s="83"/>
      <c r="J8" s="47"/>
      <c r="K8" s="84"/>
      <c r="L8" s="85"/>
      <c r="M8" s="86"/>
      <c r="N8" s="87"/>
      <c r="O8" s="88"/>
      <c r="P8" s="1"/>
    </row>
    <row r="9" ht="15.75" customHeight="1">
      <c r="A9" s="40"/>
      <c r="B9" s="141"/>
      <c r="J9" s="47"/>
      <c r="K9" s="84"/>
      <c r="L9" s="85" t="b">
        <v>0</v>
      </c>
      <c r="M9" s="86"/>
      <c r="N9" s="142"/>
      <c r="O9" s="88"/>
      <c r="P9" s="40"/>
    </row>
    <row r="10" ht="15.75" customHeight="1">
      <c r="A10" s="40"/>
      <c r="B10" s="141"/>
      <c r="J10" s="47"/>
      <c r="K10" s="84"/>
      <c r="L10" s="143" t="b">
        <v>0</v>
      </c>
      <c r="M10" s="86"/>
      <c r="N10" s="142"/>
      <c r="O10" s="144"/>
      <c r="P10" s="40"/>
    </row>
    <row r="11" ht="15.75" customHeight="1">
      <c r="A11" s="40"/>
      <c r="B11" s="141"/>
      <c r="J11" s="47"/>
      <c r="K11" s="145"/>
      <c r="L11" s="143" t="b">
        <v>0</v>
      </c>
      <c r="M11" s="146"/>
      <c r="N11" s="142"/>
      <c r="O11" s="144"/>
      <c r="P11" s="40"/>
    </row>
    <row r="12" ht="15.75" customHeight="1">
      <c r="A12" s="40"/>
      <c r="B12" s="141"/>
      <c r="J12" s="47"/>
      <c r="K12" s="145"/>
      <c r="L12" s="85" t="b">
        <v>0</v>
      </c>
      <c r="M12" s="146"/>
      <c r="N12" s="142"/>
      <c r="O12" s="144"/>
      <c r="P12" s="40"/>
    </row>
    <row r="13" ht="15.75" customHeight="1">
      <c r="A13" s="40"/>
      <c r="B13" s="141"/>
      <c r="J13" s="47"/>
      <c r="K13" s="145"/>
      <c r="L13" s="85" t="b">
        <v>0</v>
      </c>
      <c r="M13" s="146"/>
      <c r="N13" s="142"/>
      <c r="O13" s="144"/>
      <c r="P13" s="40"/>
    </row>
    <row r="14" ht="15.75" customHeight="1">
      <c r="A14" s="40"/>
      <c r="B14" s="141"/>
      <c r="J14" s="47"/>
      <c r="K14" s="145"/>
      <c r="L14" s="85" t="b">
        <v>0</v>
      </c>
      <c r="M14" s="146"/>
      <c r="N14" s="142"/>
      <c r="O14" s="144"/>
      <c r="P14" s="40"/>
    </row>
    <row r="15" ht="15.75" customHeight="1">
      <c r="A15" s="40"/>
      <c r="B15" s="141"/>
      <c r="J15" s="47"/>
      <c r="K15" s="145"/>
      <c r="L15" s="143" t="b">
        <v>0</v>
      </c>
      <c r="M15" s="146"/>
      <c r="N15" s="142"/>
      <c r="O15" s="144"/>
      <c r="P15" s="40"/>
    </row>
    <row r="16" ht="15.75" customHeight="1">
      <c r="A16" s="40"/>
      <c r="B16" s="141"/>
      <c r="J16" s="47"/>
      <c r="K16" s="145"/>
      <c r="L16" s="143" t="b">
        <v>0</v>
      </c>
      <c r="M16" s="146"/>
      <c r="N16" s="142"/>
      <c r="O16" s="144"/>
      <c r="P16" s="40"/>
    </row>
    <row r="17" ht="15.75" customHeight="1">
      <c r="A17" s="40"/>
      <c r="B17" s="141"/>
      <c r="J17" s="47"/>
      <c r="K17" s="145"/>
      <c r="L17" s="143" t="b">
        <v>0</v>
      </c>
      <c r="M17" s="146"/>
      <c r="N17" s="142"/>
      <c r="O17" s="144"/>
      <c r="P17" s="40"/>
    </row>
    <row r="18" ht="15.75" customHeight="1">
      <c r="A18" s="40"/>
      <c r="B18" s="141"/>
      <c r="J18" s="47"/>
      <c r="K18" s="145"/>
      <c r="L18" s="143" t="b">
        <v>0</v>
      </c>
      <c r="M18" s="146"/>
      <c r="N18" s="142"/>
      <c r="O18" s="144"/>
      <c r="P18" s="40"/>
    </row>
    <row r="19" ht="15.75" customHeight="1">
      <c r="A19" s="40"/>
      <c r="B19" s="141"/>
      <c r="J19" s="47"/>
      <c r="K19" s="145"/>
      <c r="L19" s="143" t="b">
        <v>0</v>
      </c>
      <c r="M19" s="146"/>
      <c r="N19" s="142"/>
      <c r="O19" s="144"/>
      <c r="P19" s="40"/>
    </row>
    <row r="20" ht="15.75" customHeight="1">
      <c r="A20" s="40"/>
      <c r="B20" s="141"/>
      <c r="J20" s="47"/>
      <c r="K20" s="145"/>
      <c r="L20" s="143" t="b">
        <v>0</v>
      </c>
      <c r="M20" s="146"/>
      <c r="N20" s="142"/>
      <c r="O20" s="144"/>
      <c r="P20" s="40"/>
    </row>
    <row r="21" ht="15.75" customHeight="1">
      <c r="A21" s="40"/>
      <c r="B21" s="141"/>
      <c r="J21" s="47"/>
      <c r="K21" s="145"/>
      <c r="L21" s="143" t="b">
        <v>0</v>
      </c>
      <c r="M21" s="146"/>
      <c r="N21" s="142"/>
      <c r="O21" s="144"/>
      <c r="P21" s="40"/>
    </row>
    <row r="22" ht="15.75" customHeight="1">
      <c r="A22" s="40"/>
      <c r="B22" s="141"/>
      <c r="J22" s="47"/>
      <c r="K22" s="145"/>
      <c r="L22" s="143" t="b">
        <v>0</v>
      </c>
      <c r="M22" s="146"/>
      <c r="N22" s="142"/>
      <c r="O22" s="144"/>
      <c r="P22" s="40"/>
    </row>
    <row r="23" ht="15.75" customHeight="1">
      <c r="A23" s="40"/>
      <c r="B23" s="141"/>
      <c r="J23" s="47"/>
      <c r="K23" s="145"/>
      <c r="L23" s="143" t="b">
        <v>0</v>
      </c>
      <c r="M23" s="146"/>
      <c r="N23" s="142"/>
      <c r="O23" s="144"/>
      <c r="P23" s="40"/>
    </row>
    <row r="24" ht="15.75" customHeight="1">
      <c r="A24" s="40"/>
      <c r="B24" s="141"/>
      <c r="J24" s="47"/>
      <c r="K24" s="145"/>
      <c r="L24" s="143" t="b">
        <v>0</v>
      </c>
      <c r="M24" s="146"/>
      <c r="N24" s="142"/>
      <c r="O24" s="144"/>
      <c r="P24" s="40"/>
    </row>
    <row r="25" ht="15.75" customHeight="1">
      <c r="A25" s="40"/>
      <c r="B25" s="89"/>
      <c r="C25" s="16"/>
      <c r="D25" s="16"/>
      <c r="E25" s="16"/>
      <c r="F25" s="16"/>
      <c r="G25" s="16"/>
      <c r="H25" s="16"/>
      <c r="I25" s="16"/>
      <c r="J25" s="90"/>
      <c r="K25" s="91"/>
      <c r="L25" s="92" t="b">
        <v>0</v>
      </c>
      <c r="M25" s="93"/>
      <c r="N25" s="94"/>
      <c r="O25" s="95"/>
      <c r="P25" s="40"/>
    </row>
    <row r="26" ht="15.75" customHeight="1">
      <c r="A26" s="40"/>
      <c r="B26" s="96"/>
      <c r="C26" s="1"/>
      <c r="D26" s="1"/>
      <c r="E26" s="1"/>
      <c r="F26" s="1"/>
      <c r="G26" s="1"/>
      <c r="H26" s="1"/>
      <c r="I26" s="1"/>
      <c r="J26" s="101" t="s">
        <v>75</v>
      </c>
      <c r="K26" s="102"/>
      <c r="L26" s="1"/>
      <c r="M26" s="1"/>
      <c r="N26" s="97"/>
      <c r="O26" s="97"/>
      <c r="P26" s="40"/>
    </row>
    <row r="27" ht="15.75" customHeight="1">
      <c r="A27" s="40"/>
      <c r="B27" s="96"/>
      <c r="C27" s="100"/>
      <c r="D27" s="100"/>
      <c r="E27" s="100"/>
      <c r="F27" s="100"/>
      <c r="G27" s="100"/>
      <c r="H27" s="100"/>
      <c r="I27" s="100"/>
      <c r="J27" s="108" t="s">
        <v>63</v>
      </c>
      <c r="K27" s="109"/>
      <c r="L27" s="110"/>
      <c r="M27" s="111" t="s">
        <v>64</v>
      </c>
      <c r="N27" s="109"/>
      <c r="O27" s="102"/>
      <c r="P27" s="40"/>
    </row>
    <row r="28" ht="15.75" customHeight="1">
      <c r="A28" s="40"/>
      <c r="B28" s="19" t="s">
        <v>76</v>
      </c>
      <c r="C28" s="100"/>
      <c r="D28" s="100"/>
      <c r="E28" s="100"/>
      <c r="F28" s="100"/>
      <c r="G28" s="100"/>
      <c r="H28" s="100"/>
      <c r="I28" s="100"/>
      <c r="J28" s="117" t="str">
        <f t="array" ref="J28">GPA({K8:K25,M8:M25,O8:O25},1,2)</f>
        <v>Loading...</v>
      </c>
      <c r="K28" s="118"/>
      <c r="L28" s="110"/>
      <c r="M28" s="119" t="str">
        <f t="array" ref="M28">CREDITSSUM({K8:K25,M8:M25},1,2)</f>
        <v>Loading...</v>
      </c>
      <c r="N28" s="118"/>
      <c r="O28" s="120"/>
      <c r="P28" s="40"/>
    </row>
    <row r="29" ht="31.5" customHeight="1">
      <c r="A29" s="40"/>
      <c r="B29" s="76" t="s">
        <v>53</v>
      </c>
      <c r="C29" s="8"/>
      <c r="D29" s="8"/>
      <c r="E29" s="8"/>
      <c r="F29" s="8"/>
      <c r="G29" s="8"/>
      <c r="H29" s="8"/>
      <c r="I29" s="8"/>
      <c r="J29" s="77"/>
      <c r="K29" s="78" t="s">
        <v>54</v>
      </c>
      <c r="L29" s="79" t="s">
        <v>55</v>
      </c>
      <c r="M29" s="80" t="s">
        <v>56</v>
      </c>
      <c r="N29" s="81"/>
      <c r="O29" s="82" t="s">
        <v>57</v>
      </c>
      <c r="P29" s="1"/>
    </row>
    <row r="30" ht="15.75" customHeight="1">
      <c r="A30" s="40"/>
      <c r="B30" s="83"/>
      <c r="J30" s="47"/>
      <c r="K30" s="84"/>
      <c r="L30" s="85"/>
      <c r="M30" s="86"/>
      <c r="N30" s="87"/>
      <c r="O30" s="88"/>
      <c r="P30" s="1"/>
    </row>
    <row r="31" ht="15.75" customHeight="1">
      <c r="A31" s="40"/>
      <c r="B31" s="141"/>
      <c r="J31" s="47"/>
      <c r="K31" s="84"/>
      <c r="L31" s="85" t="b">
        <v>0</v>
      </c>
      <c r="M31" s="86"/>
      <c r="N31" s="142"/>
      <c r="O31" s="88"/>
      <c r="P31" s="40"/>
    </row>
    <row r="32" ht="15.75" customHeight="1">
      <c r="A32" s="40"/>
      <c r="B32" s="141"/>
      <c r="J32" s="47"/>
      <c r="K32" s="84"/>
      <c r="L32" s="143" t="b">
        <v>0</v>
      </c>
      <c r="M32" s="86"/>
      <c r="N32" s="142"/>
      <c r="O32" s="144"/>
      <c r="P32" s="40"/>
    </row>
    <row r="33" ht="15.75" customHeight="1">
      <c r="A33" s="40"/>
      <c r="B33" s="141"/>
      <c r="J33" s="47"/>
      <c r="K33" s="145"/>
      <c r="L33" s="143" t="b">
        <v>0</v>
      </c>
      <c r="M33" s="146"/>
      <c r="N33" s="142"/>
      <c r="O33" s="144"/>
      <c r="P33" s="40"/>
    </row>
    <row r="34" ht="15.75" customHeight="1">
      <c r="A34" s="40"/>
      <c r="B34" s="141"/>
      <c r="J34" s="47"/>
      <c r="K34" s="145"/>
      <c r="L34" s="85" t="b">
        <v>0</v>
      </c>
      <c r="M34" s="146"/>
      <c r="N34" s="142"/>
      <c r="O34" s="144"/>
      <c r="P34" s="40"/>
    </row>
    <row r="35" ht="15.75" customHeight="1">
      <c r="A35" s="40"/>
      <c r="B35" s="141"/>
      <c r="J35" s="47"/>
      <c r="K35" s="145"/>
      <c r="L35" s="85" t="b">
        <v>0</v>
      </c>
      <c r="M35" s="146"/>
      <c r="N35" s="142"/>
      <c r="O35" s="144"/>
      <c r="P35" s="40"/>
    </row>
    <row r="36" ht="15.75" customHeight="1">
      <c r="A36" s="40"/>
      <c r="B36" s="141"/>
      <c r="J36" s="47"/>
      <c r="K36" s="145"/>
      <c r="L36" s="85" t="b">
        <v>0</v>
      </c>
      <c r="M36" s="146"/>
      <c r="N36" s="142"/>
      <c r="O36" s="144"/>
      <c r="P36" s="40"/>
    </row>
    <row r="37" ht="15.75" customHeight="1">
      <c r="A37" s="40"/>
      <c r="B37" s="141"/>
      <c r="J37" s="47"/>
      <c r="K37" s="146"/>
      <c r="L37" s="85" t="b">
        <v>0</v>
      </c>
      <c r="M37" s="146"/>
      <c r="N37" s="142"/>
      <c r="O37" s="144"/>
      <c r="P37" s="40"/>
    </row>
    <row r="38" ht="15.75" customHeight="1">
      <c r="A38" s="40"/>
      <c r="B38" s="141"/>
      <c r="J38" s="47"/>
      <c r="K38" s="145"/>
      <c r="L38" s="143" t="b">
        <v>0</v>
      </c>
      <c r="M38" s="146"/>
      <c r="N38" s="142"/>
      <c r="O38" s="144"/>
      <c r="P38" s="40"/>
    </row>
    <row r="39" ht="15.75" customHeight="1">
      <c r="A39" s="40"/>
      <c r="B39" s="141"/>
      <c r="J39" s="47"/>
      <c r="K39" s="145"/>
      <c r="L39" s="143" t="b">
        <v>0</v>
      </c>
      <c r="M39" s="146"/>
      <c r="N39" s="142"/>
      <c r="O39" s="144"/>
      <c r="P39" s="40"/>
    </row>
    <row r="40" ht="15.75" customHeight="1">
      <c r="A40" s="40"/>
      <c r="B40" s="141"/>
      <c r="J40" s="47"/>
      <c r="K40" s="145"/>
      <c r="L40" s="143" t="b">
        <v>0</v>
      </c>
      <c r="M40" s="146"/>
      <c r="N40" s="142"/>
      <c r="O40" s="144"/>
      <c r="P40" s="40"/>
    </row>
    <row r="41" ht="15.75" customHeight="1">
      <c r="A41" s="40"/>
      <c r="B41" s="141"/>
      <c r="J41" s="47"/>
      <c r="K41" s="145"/>
      <c r="L41" s="143" t="b">
        <v>0</v>
      </c>
      <c r="M41" s="146"/>
      <c r="N41" s="142"/>
      <c r="O41" s="144"/>
      <c r="P41" s="40"/>
    </row>
    <row r="42" ht="15.75" customHeight="1">
      <c r="A42" s="40"/>
      <c r="B42" s="141"/>
      <c r="J42" s="47"/>
      <c r="K42" s="145"/>
      <c r="L42" s="143" t="b">
        <v>0</v>
      </c>
      <c r="M42" s="146"/>
      <c r="N42" s="142"/>
      <c r="O42" s="144"/>
      <c r="P42" s="40"/>
    </row>
    <row r="43" ht="15.75" customHeight="1">
      <c r="A43" s="40"/>
      <c r="B43" s="141"/>
      <c r="J43" s="47"/>
      <c r="K43" s="145"/>
      <c r="L43" s="143" t="b">
        <v>0</v>
      </c>
      <c r="M43" s="146"/>
      <c r="N43" s="142"/>
      <c r="O43" s="144"/>
      <c r="P43" s="40"/>
    </row>
    <row r="44" ht="15.75" customHeight="1">
      <c r="A44" s="40"/>
      <c r="B44" s="141"/>
      <c r="J44" s="47"/>
      <c r="K44" s="145"/>
      <c r="L44" s="143" t="b">
        <v>0</v>
      </c>
      <c r="M44" s="146"/>
      <c r="N44" s="142"/>
      <c r="O44" s="144"/>
      <c r="P44" s="40"/>
    </row>
    <row r="45" ht="15.75" customHeight="1">
      <c r="A45" s="40"/>
      <c r="B45" s="141"/>
      <c r="J45" s="47"/>
      <c r="K45" s="145"/>
      <c r="L45" s="143" t="b">
        <v>0</v>
      </c>
      <c r="M45" s="146"/>
      <c r="N45" s="142"/>
      <c r="O45" s="144"/>
      <c r="P45" s="40"/>
    </row>
    <row r="46" ht="15.75" customHeight="1">
      <c r="A46" s="40"/>
      <c r="B46" s="141"/>
      <c r="J46" s="47"/>
      <c r="K46" s="145"/>
      <c r="L46" s="143" t="b">
        <v>0</v>
      </c>
      <c r="M46" s="146"/>
      <c r="N46" s="142"/>
      <c r="O46" s="144"/>
      <c r="P46" s="40"/>
    </row>
    <row r="47" ht="15.75" customHeight="1">
      <c r="A47" s="40"/>
      <c r="B47" s="89"/>
      <c r="C47" s="16"/>
      <c r="D47" s="16"/>
      <c r="E47" s="16"/>
      <c r="F47" s="16"/>
      <c r="G47" s="16"/>
      <c r="H47" s="16"/>
      <c r="I47" s="16"/>
      <c r="J47" s="90"/>
      <c r="K47" s="91"/>
      <c r="L47" s="92" t="b">
        <v>0</v>
      </c>
      <c r="M47" s="93"/>
      <c r="N47" s="94"/>
      <c r="O47" s="95"/>
      <c r="P47" s="40"/>
    </row>
    <row r="48" ht="15.75" customHeight="1">
      <c r="A48" s="40"/>
      <c r="B48" s="96"/>
      <c r="C48" s="1"/>
      <c r="D48" s="1"/>
      <c r="E48" s="1"/>
      <c r="F48" s="1"/>
      <c r="G48" s="1"/>
      <c r="H48" s="1"/>
      <c r="I48" s="1"/>
      <c r="J48" s="101" t="s">
        <v>77</v>
      </c>
      <c r="K48" s="102"/>
      <c r="L48" s="1"/>
      <c r="M48" s="1"/>
      <c r="N48" s="97"/>
      <c r="O48" s="97"/>
      <c r="P48" s="40"/>
    </row>
    <row r="49" ht="15.75" customHeight="1">
      <c r="A49" s="40"/>
      <c r="B49" s="1"/>
      <c r="C49" s="1"/>
      <c r="D49" s="1"/>
      <c r="E49" s="1"/>
      <c r="F49" s="1"/>
      <c r="G49" s="1"/>
      <c r="H49" s="1"/>
      <c r="I49" s="100"/>
      <c r="J49" s="108" t="s">
        <v>63</v>
      </c>
      <c r="K49" s="109"/>
      <c r="L49" s="110"/>
      <c r="M49" s="111" t="s">
        <v>64</v>
      </c>
      <c r="N49" s="109"/>
      <c r="O49" s="102"/>
      <c r="P49" s="40"/>
    </row>
    <row r="50" ht="15.75" customHeight="1">
      <c r="A50" s="40"/>
      <c r="B50" s="98" t="s">
        <v>58</v>
      </c>
      <c r="C50" s="99"/>
      <c r="D50" s="99"/>
      <c r="E50" s="99"/>
      <c r="F50" s="99"/>
      <c r="G50" s="99"/>
      <c r="H50" s="99"/>
      <c r="I50" s="100"/>
      <c r="J50" s="117" t="str">
        <f t="array" ref="J50">GPA({K30:K47,M30:M47,O30:O47},1,2)</f>
        <v>Loading...</v>
      </c>
      <c r="K50" s="118"/>
      <c r="L50" s="110"/>
      <c r="M50" s="119" t="str">
        <f t="array" ref="M50">CREDITSSUM({K30:K47,M30:M47},1,2)</f>
        <v>Loading...</v>
      </c>
      <c r="N50" s="118"/>
      <c r="O50" s="120"/>
      <c r="P50" s="40"/>
    </row>
    <row r="51" ht="15.75" customHeight="1">
      <c r="A51" s="40"/>
      <c r="B51" s="103" t="s">
        <v>60</v>
      </c>
      <c r="C51" s="104" t="s">
        <v>61</v>
      </c>
      <c r="D51" s="105"/>
      <c r="E51" s="106"/>
      <c r="F51" s="104" t="s">
        <v>62</v>
      </c>
      <c r="G51" s="105"/>
      <c r="H51" s="107"/>
      <c r="I51" s="110"/>
      <c r="J51" s="1"/>
      <c r="K51" s="1"/>
      <c r="L51" s="1"/>
      <c r="M51" s="1"/>
      <c r="N51" s="1"/>
      <c r="O51" s="1"/>
      <c r="P51" s="40"/>
    </row>
    <row r="52" ht="15.75" customHeight="1">
      <c r="A52" s="40"/>
      <c r="B52" s="112"/>
      <c r="C52" s="113" t="s">
        <v>65</v>
      </c>
      <c r="D52" s="114" t="s">
        <v>66</v>
      </c>
      <c r="E52" s="115" t="s">
        <v>67</v>
      </c>
      <c r="F52" s="113" t="s">
        <v>65</v>
      </c>
      <c r="G52" s="114" t="s">
        <v>66</v>
      </c>
      <c r="H52" s="116" t="s">
        <v>67</v>
      </c>
      <c r="I52" s="110"/>
      <c r="J52" s="1"/>
      <c r="K52" s="1"/>
      <c r="L52" s="1"/>
      <c r="M52" s="1"/>
      <c r="N52" s="1"/>
      <c r="O52" s="1"/>
      <c r="P52" s="40"/>
    </row>
    <row r="53" ht="15.75" customHeight="1">
      <c r="A53" s="40"/>
      <c r="B53" s="121" t="s">
        <v>68</v>
      </c>
      <c r="C53" s="122"/>
      <c r="D53" s="84"/>
      <c r="E53" s="123"/>
      <c r="F53" s="86"/>
      <c r="G53" s="84"/>
      <c r="H53" s="124"/>
      <c r="I53" s="110"/>
      <c r="J53" s="101" t="s">
        <v>59</v>
      </c>
      <c r="K53" s="102"/>
      <c r="L53" s="1"/>
      <c r="M53" s="1"/>
      <c r="N53" s="97"/>
      <c r="O53" s="97"/>
      <c r="P53" s="40"/>
    </row>
    <row r="54" ht="15.75" customHeight="1">
      <c r="A54" s="40"/>
      <c r="B54" s="125" t="s">
        <v>69</v>
      </c>
      <c r="C54" s="126"/>
      <c r="D54" s="127"/>
      <c r="E54" s="128"/>
      <c r="F54" s="129"/>
      <c r="G54" s="127"/>
      <c r="H54" s="130"/>
      <c r="I54" s="110"/>
      <c r="J54" s="108" t="s">
        <v>63</v>
      </c>
      <c r="K54" s="109"/>
      <c r="L54" s="110"/>
      <c r="M54" s="111" t="s">
        <v>64</v>
      </c>
      <c r="N54" s="109"/>
      <c r="O54" s="102"/>
      <c r="P54" s="40"/>
    </row>
    <row r="55" ht="15.75" customHeight="1">
      <c r="A55" s="40"/>
      <c r="I55" s="110"/>
      <c r="J55" s="117" t="str">
        <f t="array" ref="J55">GPA({K8:K25,M8:M25,O8:O25;K30:K47,M30:M47,O30:O47},1,2)</f>
        <v>Loading...</v>
      </c>
      <c r="K55" s="118"/>
      <c r="L55" s="110"/>
      <c r="M55" s="119" t="str">
        <f t="array" ref="M55">CREDITSSUM({K8:K25,M8:M25;K30:K47,M30:M47},1,2)</f>
        <v>Loading...</v>
      </c>
      <c r="N55" s="118"/>
      <c r="O55" s="120"/>
      <c r="P55" s="40"/>
    </row>
    <row r="56" ht="15.75" customHeight="1">
      <c r="A56" s="40"/>
      <c r="I56" s="97"/>
      <c r="J56" s="97"/>
      <c r="K56" s="97"/>
      <c r="L56" s="131"/>
      <c r="M56" s="97"/>
      <c r="N56" s="97"/>
      <c r="O56" s="97"/>
      <c r="P56" s="40"/>
    </row>
    <row r="57" ht="15.75" customHeight="1">
      <c r="A57" s="40"/>
      <c r="B57" s="96"/>
      <c r="C57" s="97"/>
      <c r="D57" s="97"/>
      <c r="E57" s="97"/>
      <c r="F57" s="97"/>
      <c r="G57" s="97"/>
      <c r="H57" s="97"/>
      <c r="I57" s="97"/>
      <c r="J57" s="97"/>
      <c r="K57" s="97"/>
      <c r="L57" s="131"/>
      <c r="M57" s="97"/>
      <c r="N57" s="97"/>
      <c r="O57" s="97"/>
      <c r="P57" s="40"/>
    </row>
    <row r="58" ht="15.75" customHeight="1">
      <c r="A58" s="40"/>
      <c r="B58" s="96"/>
      <c r="C58" s="97"/>
      <c r="D58" s="97"/>
      <c r="E58" s="97"/>
      <c r="F58" s="97"/>
      <c r="G58" s="97"/>
      <c r="H58" s="97"/>
      <c r="I58" s="97"/>
      <c r="J58" s="97"/>
      <c r="K58" s="97"/>
      <c r="L58" s="131"/>
      <c r="M58" s="97"/>
      <c r="N58" s="97"/>
      <c r="O58" s="97"/>
      <c r="P58" s="40"/>
    </row>
  </sheetData>
  <mergeCells count="74">
    <mergeCell ref="B36:J36"/>
    <mergeCell ref="B37:J37"/>
    <mergeCell ref="B38:J38"/>
    <mergeCell ref="B39:J39"/>
    <mergeCell ref="B40:J40"/>
    <mergeCell ref="B41:J41"/>
    <mergeCell ref="B42:J42"/>
    <mergeCell ref="J49:K49"/>
    <mergeCell ref="J50:K50"/>
    <mergeCell ref="M50:O50"/>
    <mergeCell ref="B51:B52"/>
    <mergeCell ref="C51:E51"/>
    <mergeCell ref="F51:H51"/>
    <mergeCell ref="J53:K53"/>
    <mergeCell ref="J54:K54"/>
    <mergeCell ref="M54:O54"/>
    <mergeCell ref="J55:K55"/>
    <mergeCell ref="M55:O55"/>
    <mergeCell ref="B43:J43"/>
    <mergeCell ref="B44:J44"/>
    <mergeCell ref="B45:J45"/>
    <mergeCell ref="B46:J46"/>
    <mergeCell ref="B47:J47"/>
    <mergeCell ref="J48:K48"/>
    <mergeCell ref="M49:O49"/>
    <mergeCell ref="C1:H1"/>
    <mergeCell ref="I1:O1"/>
    <mergeCell ref="C2:E2"/>
    <mergeCell ref="F2:H2"/>
    <mergeCell ref="I2:J2"/>
    <mergeCell ref="K2:O2"/>
    <mergeCell ref="C3:E3"/>
    <mergeCell ref="K3:O3"/>
    <mergeCell ref="F3:H3"/>
    <mergeCell ref="I3:J3"/>
    <mergeCell ref="C4:E4"/>
    <mergeCell ref="F4:H4"/>
    <mergeCell ref="I4:J4"/>
    <mergeCell ref="K4:O4"/>
    <mergeCell ref="C5:E6"/>
    <mergeCell ref="K5:O6"/>
    <mergeCell ref="F5:H6"/>
    <mergeCell ref="I5:J6"/>
    <mergeCell ref="B7:J7"/>
    <mergeCell ref="B8:J8"/>
    <mergeCell ref="B9:J9"/>
    <mergeCell ref="B10:J10"/>
    <mergeCell ref="B11:J11"/>
    <mergeCell ref="B12:J12"/>
    <mergeCell ref="B13:J13"/>
    <mergeCell ref="B14:J14"/>
    <mergeCell ref="B15:J15"/>
    <mergeCell ref="B16:J16"/>
    <mergeCell ref="B17:J17"/>
    <mergeCell ref="B18:J18"/>
    <mergeCell ref="J26:K26"/>
    <mergeCell ref="J27:K27"/>
    <mergeCell ref="M27:O27"/>
    <mergeCell ref="J28:K28"/>
    <mergeCell ref="M28:O28"/>
    <mergeCell ref="B19:J19"/>
    <mergeCell ref="B20:J20"/>
    <mergeCell ref="B21:J21"/>
    <mergeCell ref="B22:J22"/>
    <mergeCell ref="B23:J23"/>
    <mergeCell ref="B24:J24"/>
    <mergeCell ref="B25:J25"/>
    <mergeCell ref="B29:J29"/>
    <mergeCell ref="B30:J30"/>
    <mergeCell ref="B31:J31"/>
    <mergeCell ref="B32:J32"/>
    <mergeCell ref="B33:J33"/>
    <mergeCell ref="B34:J34"/>
    <mergeCell ref="B35:J35"/>
  </mergeCells>
  <dataValidations>
    <dataValidation type="custom" allowBlank="1" showDropDown="1" showInputMessage="1" showErrorMessage="1" prompt="Enter a number" sqref="K8:K16 O8:O25 K30:K39 O30:O47">
      <formula1>ISNUMBER(K8)</formula1>
    </dataValidation>
    <dataValidation type="list" allowBlank="1" showInputMessage="1" showErrorMessage="1" prompt="Click and enter a valid scale from the list of items. The valid scales are Letter, 0-100, 0-4, and None" sqref="B3">
      <formula1>"Letter,0-4,0-100,None"</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8.88"/>
    <col customWidth="1" min="3" max="8" width="6.38"/>
    <col customWidth="1" hidden="1" min="9" max="9" width="18.88"/>
    <col customWidth="1" min="10" max="10" width="18.88"/>
    <col customWidth="1" min="11" max="11" width="6.38"/>
    <col customWidth="1" hidden="1" min="12" max="12" width="18.88"/>
    <col customWidth="1" min="13" max="13" width="6.38"/>
    <col customWidth="1" hidden="1" min="14" max="14" width="6.38"/>
    <col customWidth="1" min="15" max="15" width="6.38"/>
  </cols>
  <sheetData>
    <row r="1" ht="31.5" customHeight="1">
      <c r="A1" s="58"/>
      <c r="B1" s="1"/>
      <c r="C1" s="71" t="s">
        <v>5</v>
      </c>
      <c r="I1" s="58" t="s">
        <v>6</v>
      </c>
      <c r="P1" s="72"/>
    </row>
    <row r="2" ht="15.75" customHeight="1">
      <c r="A2" s="73"/>
      <c r="B2" s="74" t="s">
        <v>50</v>
      </c>
      <c r="C2" s="59" t="s">
        <v>8</v>
      </c>
      <c r="F2" s="60" t="str">
        <f>'Getting Started'!$G$10</f>
        <v/>
      </c>
      <c r="I2" s="59" t="s">
        <v>9</v>
      </c>
      <c r="K2" s="60" t="str">
        <f>'Getting Started'!$I$10</f>
        <v/>
      </c>
      <c r="P2" s="40"/>
    </row>
    <row r="3" ht="15.75" customHeight="1">
      <c r="A3" s="73"/>
      <c r="B3" s="75" t="s">
        <v>51</v>
      </c>
      <c r="C3" s="59" t="s">
        <v>11</v>
      </c>
      <c r="F3" s="61" t="str">
        <f>'Getting Started'!$G$11</f>
        <v/>
      </c>
      <c r="I3" s="59" t="s">
        <v>12</v>
      </c>
      <c r="K3" s="60" t="str">
        <f>'Getting Started'!$I$11</f>
        <v/>
      </c>
      <c r="P3" s="40"/>
    </row>
    <row r="4" ht="31.5" customHeight="1">
      <c r="A4" s="73"/>
      <c r="B4" s="1"/>
      <c r="C4" s="59" t="s">
        <v>13</v>
      </c>
      <c r="F4" s="60" t="str">
        <f>'Getting Started'!$G$12</f>
        <v/>
      </c>
      <c r="I4" s="59" t="s">
        <v>14</v>
      </c>
      <c r="K4" s="60" t="str">
        <f>'Getting Started'!$I$12</f>
        <v/>
      </c>
      <c r="P4" s="40"/>
    </row>
    <row r="5" ht="15.75" customHeight="1">
      <c r="A5" s="73"/>
      <c r="B5" s="1"/>
      <c r="C5" s="59" t="s">
        <v>15</v>
      </c>
      <c r="F5" s="62" t="str">
        <f>'Getting Started'!$G$14</f>
        <v/>
      </c>
      <c r="I5" s="59" t="s">
        <v>16</v>
      </c>
      <c r="K5" s="60" t="str">
        <f>'Getting Started'!$I$14</f>
        <v/>
      </c>
      <c r="P5" s="40"/>
    </row>
    <row r="6" ht="15.75" customHeight="1">
      <c r="A6" s="73"/>
      <c r="B6" s="19" t="s">
        <v>74</v>
      </c>
      <c r="P6" s="40"/>
    </row>
    <row r="7" ht="31.5" customHeight="1">
      <c r="A7" s="40"/>
      <c r="B7" s="76" t="s">
        <v>53</v>
      </c>
      <c r="C7" s="8"/>
      <c r="D7" s="8"/>
      <c r="E7" s="8"/>
      <c r="F7" s="8"/>
      <c r="G7" s="8"/>
      <c r="H7" s="8"/>
      <c r="I7" s="8"/>
      <c r="J7" s="77"/>
      <c r="K7" s="78" t="s">
        <v>54</v>
      </c>
      <c r="L7" s="79" t="s">
        <v>55</v>
      </c>
      <c r="M7" s="80" t="s">
        <v>56</v>
      </c>
      <c r="N7" s="81"/>
      <c r="O7" s="82" t="s">
        <v>57</v>
      </c>
      <c r="P7" s="1"/>
    </row>
    <row r="8" ht="15.75" customHeight="1">
      <c r="A8" s="40"/>
      <c r="B8" s="83"/>
      <c r="J8" s="47"/>
      <c r="K8" s="84"/>
      <c r="L8" s="85"/>
      <c r="M8" s="86"/>
      <c r="N8" s="87"/>
      <c r="O8" s="88"/>
      <c r="P8" s="1"/>
    </row>
    <row r="9" ht="15.75" customHeight="1">
      <c r="A9" s="40"/>
      <c r="B9" s="141"/>
      <c r="J9" s="47"/>
      <c r="K9" s="84"/>
      <c r="L9" s="85" t="b">
        <v>0</v>
      </c>
      <c r="M9" s="86"/>
      <c r="N9" s="142"/>
      <c r="O9" s="88"/>
      <c r="P9" s="40"/>
    </row>
    <row r="10" ht="15.75" customHeight="1">
      <c r="A10" s="40"/>
      <c r="B10" s="141"/>
      <c r="J10" s="47"/>
      <c r="K10" s="84"/>
      <c r="L10" s="143" t="b">
        <v>0</v>
      </c>
      <c r="M10" s="86"/>
      <c r="N10" s="142"/>
      <c r="O10" s="144"/>
      <c r="P10" s="40"/>
    </row>
    <row r="11" ht="15.75" customHeight="1">
      <c r="A11" s="40"/>
      <c r="B11" s="141"/>
      <c r="J11" s="47"/>
      <c r="K11" s="145"/>
      <c r="L11" s="143" t="b">
        <v>0</v>
      </c>
      <c r="M11" s="146"/>
      <c r="N11" s="142"/>
      <c r="O11" s="144"/>
      <c r="P11" s="40"/>
    </row>
    <row r="12" ht="15.75" customHeight="1">
      <c r="A12" s="40"/>
      <c r="B12" s="141"/>
      <c r="J12" s="47"/>
      <c r="K12" s="145"/>
      <c r="L12" s="85" t="b">
        <v>0</v>
      </c>
      <c r="M12" s="146"/>
      <c r="N12" s="142"/>
      <c r="O12" s="144"/>
      <c r="P12" s="40"/>
    </row>
    <row r="13" ht="15.75" customHeight="1">
      <c r="A13" s="40"/>
      <c r="B13" s="141"/>
      <c r="J13" s="47"/>
      <c r="K13" s="145"/>
      <c r="L13" s="85" t="b">
        <v>0</v>
      </c>
      <c r="M13" s="146"/>
      <c r="N13" s="142"/>
      <c r="O13" s="144"/>
      <c r="P13" s="40"/>
    </row>
    <row r="14" ht="15.75" customHeight="1">
      <c r="A14" s="40"/>
      <c r="B14" s="141"/>
      <c r="J14" s="47"/>
      <c r="K14" s="145"/>
      <c r="L14" s="85" t="b">
        <v>0</v>
      </c>
      <c r="M14" s="146"/>
      <c r="N14" s="142"/>
      <c r="O14" s="144"/>
      <c r="P14" s="40"/>
    </row>
    <row r="15" ht="15.75" customHeight="1">
      <c r="A15" s="40"/>
      <c r="B15" s="141"/>
      <c r="J15" s="47"/>
      <c r="K15" s="145"/>
      <c r="L15" s="143" t="b">
        <v>0</v>
      </c>
      <c r="M15" s="146"/>
      <c r="N15" s="142"/>
      <c r="O15" s="144"/>
      <c r="P15" s="40"/>
    </row>
    <row r="16" ht="15.75" customHeight="1">
      <c r="A16" s="40"/>
      <c r="B16" s="141"/>
      <c r="J16" s="47"/>
      <c r="K16" s="145"/>
      <c r="L16" s="143" t="b">
        <v>0</v>
      </c>
      <c r="M16" s="146"/>
      <c r="N16" s="142"/>
      <c r="O16" s="144"/>
      <c r="P16" s="40"/>
    </row>
    <row r="17" ht="15.75" customHeight="1">
      <c r="A17" s="40"/>
      <c r="B17" s="141"/>
      <c r="J17" s="47"/>
      <c r="K17" s="145"/>
      <c r="L17" s="143" t="b">
        <v>0</v>
      </c>
      <c r="M17" s="146"/>
      <c r="N17" s="142"/>
      <c r="O17" s="144"/>
      <c r="P17" s="40"/>
    </row>
    <row r="18" ht="15.75" customHeight="1">
      <c r="A18" s="40"/>
      <c r="B18" s="141"/>
      <c r="J18" s="47"/>
      <c r="K18" s="145"/>
      <c r="L18" s="143" t="b">
        <v>0</v>
      </c>
      <c r="M18" s="146"/>
      <c r="N18" s="142"/>
      <c r="O18" s="144"/>
      <c r="P18" s="40"/>
    </row>
    <row r="19" ht="15.75" customHeight="1">
      <c r="A19" s="40"/>
      <c r="B19" s="141"/>
      <c r="J19" s="47"/>
      <c r="K19" s="145"/>
      <c r="L19" s="143" t="b">
        <v>0</v>
      </c>
      <c r="M19" s="146"/>
      <c r="N19" s="142"/>
      <c r="O19" s="144"/>
      <c r="P19" s="40"/>
    </row>
    <row r="20" ht="15.75" customHeight="1">
      <c r="A20" s="40"/>
      <c r="B20" s="141"/>
      <c r="J20" s="47"/>
      <c r="K20" s="145"/>
      <c r="L20" s="143" t="b">
        <v>0</v>
      </c>
      <c r="M20" s="146"/>
      <c r="N20" s="142"/>
      <c r="O20" s="144"/>
      <c r="P20" s="40"/>
    </row>
    <row r="21" ht="15.75" customHeight="1">
      <c r="A21" s="40"/>
      <c r="B21" s="141"/>
      <c r="J21" s="47"/>
      <c r="K21" s="145"/>
      <c r="L21" s="143" t="b">
        <v>0</v>
      </c>
      <c r="M21" s="146"/>
      <c r="N21" s="142"/>
      <c r="O21" s="144"/>
      <c r="P21" s="40"/>
    </row>
    <row r="22" ht="15.75" customHeight="1">
      <c r="A22" s="40"/>
      <c r="B22" s="141"/>
      <c r="J22" s="47"/>
      <c r="K22" s="145"/>
      <c r="L22" s="143" t="b">
        <v>0</v>
      </c>
      <c r="M22" s="146"/>
      <c r="N22" s="142"/>
      <c r="O22" s="144"/>
      <c r="P22" s="40"/>
    </row>
    <row r="23" ht="15.75" customHeight="1">
      <c r="A23" s="40"/>
      <c r="B23" s="141"/>
      <c r="J23" s="47"/>
      <c r="K23" s="145"/>
      <c r="L23" s="143" t="b">
        <v>0</v>
      </c>
      <c r="M23" s="146"/>
      <c r="N23" s="142"/>
      <c r="O23" s="144"/>
      <c r="P23" s="40"/>
    </row>
    <row r="24" ht="15.75" customHeight="1">
      <c r="A24" s="40"/>
      <c r="B24" s="141"/>
      <c r="J24" s="47"/>
      <c r="K24" s="145"/>
      <c r="L24" s="143" t="b">
        <v>0</v>
      </c>
      <c r="M24" s="146"/>
      <c r="N24" s="142"/>
      <c r="O24" s="144"/>
      <c r="P24" s="40"/>
    </row>
    <row r="25" ht="15.75" customHeight="1">
      <c r="A25" s="40"/>
      <c r="B25" s="89"/>
      <c r="C25" s="16"/>
      <c r="D25" s="16"/>
      <c r="E25" s="16"/>
      <c r="F25" s="16"/>
      <c r="G25" s="16"/>
      <c r="H25" s="16"/>
      <c r="I25" s="16"/>
      <c r="J25" s="90"/>
      <c r="K25" s="91"/>
      <c r="L25" s="92" t="b">
        <v>0</v>
      </c>
      <c r="M25" s="93"/>
      <c r="N25" s="94"/>
      <c r="O25" s="95"/>
      <c r="P25" s="40"/>
    </row>
    <row r="26" ht="15.75" customHeight="1">
      <c r="A26" s="40"/>
      <c r="B26" s="96"/>
      <c r="C26" s="1"/>
      <c r="D26" s="1"/>
      <c r="E26" s="1"/>
      <c r="F26" s="1"/>
      <c r="G26" s="1"/>
      <c r="H26" s="1"/>
      <c r="I26" s="1"/>
      <c r="J26" s="101" t="s">
        <v>75</v>
      </c>
      <c r="K26" s="102"/>
      <c r="L26" s="1"/>
      <c r="M26" s="1"/>
      <c r="N26" s="97"/>
      <c r="O26" s="97"/>
      <c r="P26" s="40"/>
    </row>
    <row r="27" ht="15.75" customHeight="1">
      <c r="A27" s="40"/>
      <c r="B27" s="96"/>
      <c r="C27" s="100"/>
      <c r="D27" s="100"/>
      <c r="E27" s="100"/>
      <c r="F27" s="100"/>
      <c r="G27" s="100"/>
      <c r="H27" s="100"/>
      <c r="I27" s="100"/>
      <c r="J27" s="108" t="s">
        <v>63</v>
      </c>
      <c r="K27" s="109"/>
      <c r="L27" s="110"/>
      <c r="M27" s="111" t="s">
        <v>64</v>
      </c>
      <c r="N27" s="109"/>
      <c r="O27" s="102"/>
      <c r="P27" s="40"/>
    </row>
    <row r="28" ht="15.75" customHeight="1">
      <c r="A28" s="40"/>
      <c r="B28" s="19" t="s">
        <v>76</v>
      </c>
      <c r="C28" s="100"/>
      <c r="D28" s="100"/>
      <c r="E28" s="100"/>
      <c r="F28" s="100"/>
      <c r="G28" s="100"/>
      <c r="H28" s="100"/>
      <c r="I28" s="100"/>
      <c r="J28" s="117" t="str">
        <f t="array" ref="J28">GPA({K8:K25,M8:M25,O8:O25},1,2)</f>
        <v>Loading...</v>
      </c>
      <c r="K28" s="118"/>
      <c r="L28" s="110"/>
      <c r="M28" s="119" t="str">
        <f t="array" ref="M28">CREDITSSUM({K8:K25,M8:M25},1,2)</f>
        <v>Loading...</v>
      </c>
      <c r="N28" s="118"/>
      <c r="O28" s="120"/>
      <c r="P28" s="40"/>
    </row>
    <row r="29" ht="31.5" customHeight="1">
      <c r="A29" s="40"/>
      <c r="B29" s="76" t="s">
        <v>53</v>
      </c>
      <c r="C29" s="8"/>
      <c r="D29" s="8"/>
      <c r="E29" s="8"/>
      <c r="F29" s="8"/>
      <c r="G29" s="8"/>
      <c r="H29" s="8"/>
      <c r="I29" s="8"/>
      <c r="J29" s="77"/>
      <c r="K29" s="78" t="s">
        <v>54</v>
      </c>
      <c r="L29" s="79" t="s">
        <v>55</v>
      </c>
      <c r="M29" s="80" t="s">
        <v>56</v>
      </c>
      <c r="N29" s="81"/>
      <c r="O29" s="82" t="s">
        <v>57</v>
      </c>
      <c r="P29" s="1"/>
    </row>
    <row r="30" ht="15.75" customHeight="1">
      <c r="A30" s="40"/>
      <c r="B30" s="83"/>
      <c r="J30" s="47"/>
      <c r="K30" s="84"/>
      <c r="L30" s="85"/>
      <c r="M30" s="86"/>
      <c r="N30" s="87"/>
      <c r="O30" s="88"/>
      <c r="P30" s="1"/>
    </row>
    <row r="31" ht="15.75" customHeight="1">
      <c r="A31" s="40"/>
      <c r="B31" s="141"/>
      <c r="J31" s="47"/>
      <c r="K31" s="84"/>
      <c r="L31" s="85" t="b">
        <v>0</v>
      </c>
      <c r="M31" s="86"/>
      <c r="N31" s="142"/>
      <c r="O31" s="88"/>
      <c r="P31" s="40"/>
    </row>
    <row r="32" ht="15.75" customHeight="1">
      <c r="A32" s="40"/>
      <c r="B32" s="141"/>
      <c r="J32" s="47"/>
      <c r="K32" s="84"/>
      <c r="L32" s="143" t="b">
        <v>0</v>
      </c>
      <c r="M32" s="86"/>
      <c r="N32" s="142"/>
      <c r="O32" s="144"/>
      <c r="P32" s="40"/>
    </row>
    <row r="33" ht="15.75" customHeight="1">
      <c r="A33" s="40"/>
      <c r="B33" s="141"/>
      <c r="J33" s="47"/>
      <c r="K33" s="145"/>
      <c r="L33" s="143" t="b">
        <v>0</v>
      </c>
      <c r="M33" s="146"/>
      <c r="N33" s="142"/>
      <c r="O33" s="144"/>
      <c r="P33" s="40"/>
    </row>
    <row r="34" ht="15.75" customHeight="1">
      <c r="A34" s="40"/>
      <c r="B34" s="141"/>
      <c r="J34" s="47"/>
      <c r="K34" s="145"/>
      <c r="L34" s="85" t="b">
        <v>0</v>
      </c>
      <c r="M34" s="146"/>
      <c r="N34" s="142"/>
      <c r="O34" s="144"/>
      <c r="P34" s="40"/>
    </row>
    <row r="35" ht="15.75" customHeight="1">
      <c r="A35" s="40"/>
      <c r="B35" s="141"/>
      <c r="J35" s="47"/>
      <c r="K35" s="145"/>
      <c r="L35" s="85" t="b">
        <v>0</v>
      </c>
      <c r="M35" s="146"/>
      <c r="N35" s="142"/>
      <c r="O35" s="144"/>
      <c r="P35" s="40"/>
    </row>
    <row r="36" ht="15.75" customHeight="1">
      <c r="A36" s="40"/>
      <c r="B36" s="141"/>
      <c r="J36" s="47"/>
      <c r="K36" s="145"/>
      <c r="L36" s="85" t="b">
        <v>0</v>
      </c>
      <c r="M36" s="146"/>
      <c r="N36" s="142"/>
      <c r="O36" s="144"/>
      <c r="P36" s="40"/>
    </row>
    <row r="37" ht="15.75" customHeight="1">
      <c r="A37" s="40"/>
      <c r="B37" s="141"/>
      <c r="J37" s="47"/>
      <c r="K37" s="146"/>
      <c r="L37" s="85" t="b">
        <v>0</v>
      </c>
      <c r="M37" s="146"/>
      <c r="N37" s="142"/>
      <c r="O37" s="144"/>
      <c r="P37" s="40"/>
    </row>
    <row r="38" ht="15.75" customHeight="1">
      <c r="A38" s="40"/>
      <c r="B38" s="141"/>
      <c r="J38" s="47"/>
      <c r="K38" s="145"/>
      <c r="L38" s="143" t="b">
        <v>0</v>
      </c>
      <c r="M38" s="146"/>
      <c r="N38" s="142"/>
      <c r="O38" s="144"/>
      <c r="P38" s="40"/>
    </row>
    <row r="39" ht="15.75" customHeight="1">
      <c r="A39" s="40"/>
      <c r="B39" s="141"/>
      <c r="J39" s="47"/>
      <c r="K39" s="145"/>
      <c r="L39" s="143" t="b">
        <v>0</v>
      </c>
      <c r="M39" s="146"/>
      <c r="N39" s="142"/>
      <c r="O39" s="144"/>
      <c r="P39" s="40"/>
    </row>
    <row r="40" ht="15.75" customHeight="1">
      <c r="A40" s="40"/>
      <c r="B40" s="141"/>
      <c r="J40" s="47"/>
      <c r="K40" s="145"/>
      <c r="L40" s="143" t="b">
        <v>0</v>
      </c>
      <c r="M40" s="146"/>
      <c r="N40" s="142"/>
      <c r="O40" s="144"/>
      <c r="P40" s="40"/>
    </row>
    <row r="41" ht="15.75" customHeight="1">
      <c r="A41" s="40"/>
      <c r="B41" s="141"/>
      <c r="J41" s="47"/>
      <c r="K41" s="145"/>
      <c r="L41" s="143" t="b">
        <v>0</v>
      </c>
      <c r="M41" s="146"/>
      <c r="N41" s="142"/>
      <c r="O41" s="144"/>
      <c r="P41" s="40"/>
    </row>
    <row r="42" ht="15.75" customHeight="1">
      <c r="A42" s="40"/>
      <c r="B42" s="141"/>
      <c r="J42" s="47"/>
      <c r="K42" s="145"/>
      <c r="L42" s="143" t="b">
        <v>0</v>
      </c>
      <c r="M42" s="146"/>
      <c r="N42" s="142"/>
      <c r="O42" s="144"/>
      <c r="P42" s="40"/>
    </row>
    <row r="43" ht="15.75" customHeight="1">
      <c r="A43" s="40"/>
      <c r="B43" s="141"/>
      <c r="J43" s="47"/>
      <c r="K43" s="145"/>
      <c r="L43" s="143" t="b">
        <v>0</v>
      </c>
      <c r="M43" s="146"/>
      <c r="N43" s="142"/>
      <c r="O43" s="144"/>
      <c r="P43" s="40"/>
    </row>
    <row r="44" ht="15.75" customHeight="1">
      <c r="A44" s="40"/>
      <c r="B44" s="141"/>
      <c r="J44" s="47"/>
      <c r="K44" s="145"/>
      <c r="L44" s="143" t="b">
        <v>0</v>
      </c>
      <c r="M44" s="146"/>
      <c r="N44" s="142"/>
      <c r="O44" s="144"/>
      <c r="P44" s="40"/>
    </row>
    <row r="45" ht="15.75" customHeight="1">
      <c r="A45" s="40"/>
      <c r="B45" s="141"/>
      <c r="J45" s="47"/>
      <c r="K45" s="145"/>
      <c r="L45" s="143" t="b">
        <v>0</v>
      </c>
      <c r="M45" s="146"/>
      <c r="N45" s="142"/>
      <c r="O45" s="144"/>
      <c r="P45" s="40"/>
    </row>
    <row r="46" ht="15.75" customHeight="1">
      <c r="A46" s="40"/>
      <c r="B46" s="141"/>
      <c r="J46" s="47"/>
      <c r="K46" s="145"/>
      <c r="L46" s="143" t="b">
        <v>0</v>
      </c>
      <c r="M46" s="146"/>
      <c r="N46" s="142"/>
      <c r="O46" s="144"/>
      <c r="P46" s="40"/>
    </row>
    <row r="47" ht="15.75" customHeight="1">
      <c r="A47" s="40"/>
      <c r="B47" s="89"/>
      <c r="C47" s="16"/>
      <c r="D47" s="16"/>
      <c r="E47" s="16"/>
      <c r="F47" s="16"/>
      <c r="G47" s="16"/>
      <c r="H47" s="16"/>
      <c r="I47" s="16"/>
      <c r="J47" s="90"/>
      <c r="K47" s="91"/>
      <c r="L47" s="92" t="b">
        <v>0</v>
      </c>
      <c r="M47" s="93"/>
      <c r="N47" s="94"/>
      <c r="O47" s="95"/>
      <c r="P47" s="40"/>
    </row>
    <row r="48" ht="15.75" customHeight="1">
      <c r="A48" s="40"/>
      <c r="B48" s="96"/>
      <c r="C48" s="1"/>
      <c r="D48" s="1"/>
      <c r="E48" s="1"/>
      <c r="F48" s="1"/>
      <c r="G48" s="1"/>
      <c r="H48" s="1"/>
      <c r="I48" s="1"/>
      <c r="J48" s="101" t="s">
        <v>77</v>
      </c>
      <c r="K48" s="102"/>
      <c r="L48" s="1"/>
      <c r="M48" s="1"/>
      <c r="N48" s="97"/>
      <c r="O48" s="97"/>
      <c r="P48" s="40"/>
    </row>
    <row r="49" ht="15.75" customHeight="1">
      <c r="A49" s="40"/>
      <c r="B49" s="1"/>
      <c r="C49" s="1"/>
      <c r="D49" s="1"/>
      <c r="E49" s="1"/>
      <c r="F49" s="1"/>
      <c r="G49" s="1"/>
      <c r="H49" s="1"/>
      <c r="I49" s="100"/>
      <c r="J49" s="108" t="s">
        <v>63</v>
      </c>
      <c r="K49" s="109"/>
      <c r="L49" s="110"/>
      <c r="M49" s="111" t="s">
        <v>64</v>
      </c>
      <c r="N49" s="109"/>
      <c r="O49" s="102"/>
      <c r="P49" s="40"/>
    </row>
    <row r="50" ht="15.75" customHeight="1">
      <c r="A50" s="40"/>
      <c r="B50" s="98" t="s">
        <v>58</v>
      </c>
      <c r="C50" s="99"/>
      <c r="D50" s="99"/>
      <c r="E50" s="99"/>
      <c r="F50" s="99"/>
      <c r="G50" s="99"/>
      <c r="H50" s="99"/>
      <c r="I50" s="100"/>
      <c r="J50" s="117" t="str">
        <f t="array" ref="J50">GPA({K30:K47,M30:M47,O30:O47},1,2)</f>
        <v>Loading...</v>
      </c>
      <c r="K50" s="118"/>
      <c r="L50" s="110"/>
      <c r="M50" s="119" t="str">
        <f t="array" ref="M50">CREDITSSUM({K30:K47,M30:M47},1,2)</f>
        <v>Loading...</v>
      </c>
      <c r="N50" s="118"/>
      <c r="O50" s="120"/>
      <c r="P50" s="40"/>
    </row>
    <row r="51" ht="15.75" customHeight="1">
      <c r="A51" s="40"/>
      <c r="B51" s="103" t="s">
        <v>60</v>
      </c>
      <c r="C51" s="104" t="s">
        <v>61</v>
      </c>
      <c r="D51" s="105"/>
      <c r="E51" s="106"/>
      <c r="F51" s="104" t="s">
        <v>62</v>
      </c>
      <c r="G51" s="105"/>
      <c r="H51" s="107"/>
      <c r="I51" s="110"/>
      <c r="J51" s="1"/>
      <c r="K51" s="1"/>
      <c r="L51" s="1"/>
      <c r="M51" s="1"/>
      <c r="N51" s="1"/>
      <c r="O51" s="1"/>
      <c r="P51" s="40"/>
    </row>
    <row r="52" ht="15.75" customHeight="1">
      <c r="A52" s="40"/>
      <c r="B52" s="112"/>
      <c r="C52" s="113" t="s">
        <v>65</v>
      </c>
      <c r="D52" s="114" t="s">
        <v>66</v>
      </c>
      <c r="E52" s="115" t="s">
        <v>67</v>
      </c>
      <c r="F52" s="113" t="s">
        <v>65</v>
      </c>
      <c r="G52" s="114" t="s">
        <v>66</v>
      </c>
      <c r="H52" s="116" t="s">
        <v>67</v>
      </c>
      <c r="I52" s="110"/>
      <c r="J52" s="1"/>
      <c r="K52" s="1"/>
      <c r="L52" s="1"/>
      <c r="M52" s="1"/>
      <c r="N52" s="1"/>
      <c r="O52" s="1"/>
      <c r="P52" s="40"/>
    </row>
    <row r="53" ht="15.75" customHeight="1">
      <c r="A53" s="40"/>
      <c r="B53" s="121" t="s">
        <v>68</v>
      </c>
      <c r="C53" s="122"/>
      <c r="D53" s="84"/>
      <c r="E53" s="123"/>
      <c r="F53" s="86"/>
      <c r="G53" s="84"/>
      <c r="H53" s="124"/>
      <c r="I53" s="110"/>
      <c r="J53" s="101" t="s">
        <v>59</v>
      </c>
      <c r="K53" s="102"/>
      <c r="L53" s="1"/>
      <c r="M53" s="1"/>
      <c r="N53" s="97"/>
      <c r="O53" s="97"/>
      <c r="P53" s="40"/>
    </row>
    <row r="54" ht="15.75" customHeight="1">
      <c r="A54" s="40"/>
      <c r="B54" s="125" t="s">
        <v>69</v>
      </c>
      <c r="C54" s="126"/>
      <c r="D54" s="127"/>
      <c r="E54" s="128"/>
      <c r="F54" s="129"/>
      <c r="G54" s="127"/>
      <c r="H54" s="130"/>
      <c r="I54" s="110"/>
      <c r="J54" s="108" t="s">
        <v>63</v>
      </c>
      <c r="K54" s="109"/>
      <c r="L54" s="110"/>
      <c r="M54" s="111" t="s">
        <v>64</v>
      </c>
      <c r="N54" s="109"/>
      <c r="O54" s="102"/>
      <c r="P54" s="40"/>
    </row>
    <row r="55" ht="15.75" customHeight="1">
      <c r="A55" s="40"/>
      <c r="I55" s="110"/>
      <c r="J55" s="117" t="str">
        <f t="array" ref="J55">GPA({K8:K25,M8:M25,O8:O25;K30:K47,M30:M47,O30:O47},1,2)</f>
        <v>Loading...</v>
      </c>
      <c r="K55" s="118"/>
      <c r="L55" s="110"/>
      <c r="M55" s="119" t="str">
        <f t="array" ref="M55">CREDITSSUM({K8:K25,M8:M25;K30:K47,M30:M47},1,2)</f>
        <v>Loading...</v>
      </c>
      <c r="N55" s="118"/>
      <c r="O55" s="120"/>
      <c r="P55" s="40"/>
    </row>
    <row r="56" ht="15.75" customHeight="1">
      <c r="A56" s="40"/>
      <c r="I56" s="97"/>
      <c r="J56" s="97"/>
      <c r="K56" s="97"/>
      <c r="L56" s="131"/>
      <c r="M56" s="97"/>
      <c r="N56" s="97"/>
      <c r="O56" s="97"/>
      <c r="P56" s="40"/>
    </row>
    <row r="57" ht="15.75" customHeight="1">
      <c r="A57" s="40"/>
      <c r="B57" s="96"/>
      <c r="C57" s="97"/>
      <c r="D57" s="97"/>
      <c r="E57" s="97"/>
      <c r="F57" s="97"/>
      <c r="G57" s="97"/>
      <c r="H57" s="97"/>
      <c r="I57" s="97"/>
      <c r="J57" s="97"/>
      <c r="K57" s="97"/>
      <c r="L57" s="131"/>
      <c r="M57" s="97"/>
      <c r="N57" s="97"/>
      <c r="O57" s="97"/>
      <c r="P57" s="40"/>
    </row>
    <row r="58" ht="15.75" customHeight="1">
      <c r="A58" s="40"/>
      <c r="B58" s="96"/>
      <c r="C58" s="97"/>
      <c r="D58" s="97"/>
      <c r="E58" s="97"/>
      <c r="F58" s="97"/>
      <c r="G58" s="97"/>
      <c r="H58" s="97"/>
      <c r="I58" s="97"/>
      <c r="J58" s="97"/>
      <c r="K58" s="97"/>
      <c r="L58" s="131"/>
      <c r="M58" s="97"/>
      <c r="N58" s="97"/>
      <c r="O58" s="97"/>
      <c r="P58" s="40"/>
    </row>
  </sheetData>
  <mergeCells count="74">
    <mergeCell ref="B36:J36"/>
    <mergeCell ref="B37:J37"/>
    <mergeCell ref="B38:J38"/>
    <mergeCell ref="B39:J39"/>
    <mergeCell ref="B40:J40"/>
    <mergeCell ref="B41:J41"/>
    <mergeCell ref="B42:J42"/>
    <mergeCell ref="J49:K49"/>
    <mergeCell ref="J50:K50"/>
    <mergeCell ref="M50:O50"/>
    <mergeCell ref="B51:B52"/>
    <mergeCell ref="C51:E51"/>
    <mergeCell ref="F51:H51"/>
    <mergeCell ref="J53:K53"/>
    <mergeCell ref="J54:K54"/>
    <mergeCell ref="M54:O54"/>
    <mergeCell ref="J55:K55"/>
    <mergeCell ref="M55:O55"/>
    <mergeCell ref="B43:J43"/>
    <mergeCell ref="B44:J44"/>
    <mergeCell ref="B45:J45"/>
    <mergeCell ref="B46:J46"/>
    <mergeCell ref="B47:J47"/>
    <mergeCell ref="J48:K48"/>
    <mergeCell ref="M49:O49"/>
    <mergeCell ref="C1:H1"/>
    <mergeCell ref="I1:O1"/>
    <mergeCell ref="C2:E2"/>
    <mergeCell ref="F2:H2"/>
    <mergeCell ref="I2:J2"/>
    <mergeCell ref="K2:O2"/>
    <mergeCell ref="C3:E3"/>
    <mergeCell ref="K3:O3"/>
    <mergeCell ref="F3:H3"/>
    <mergeCell ref="I3:J3"/>
    <mergeCell ref="C4:E4"/>
    <mergeCell ref="F4:H4"/>
    <mergeCell ref="I4:J4"/>
    <mergeCell ref="K4:O4"/>
    <mergeCell ref="C5:E6"/>
    <mergeCell ref="K5:O6"/>
    <mergeCell ref="F5:H6"/>
    <mergeCell ref="I5:J6"/>
    <mergeCell ref="B7:J7"/>
    <mergeCell ref="B8:J8"/>
    <mergeCell ref="B9:J9"/>
    <mergeCell ref="B10:J10"/>
    <mergeCell ref="B11:J11"/>
    <mergeCell ref="B12:J12"/>
    <mergeCell ref="B13:J13"/>
    <mergeCell ref="B14:J14"/>
    <mergeCell ref="B15:J15"/>
    <mergeCell ref="B16:J16"/>
    <mergeCell ref="B17:J17"/>
    <mergeCell ref="B18:J18"/>
    <mergeCell ref="J26:K26"/>
    <mergeCell ref="J27:K27"/>
    <mergeCell ref="M27:O27"/>
    <mergeCell ref="J28:K28"/>
    <mergeCell ref="M28:O28"/>
    <mergeCell ref="B19:J19"/>
    <mergeCell ref="B20:J20"/>
    <mergeCell ref="B21:J21"/>
    <mergeCell ref="B22:J22"/>
    <mergeCell ref="B23:J23"/>
    <mergeCell ref="B24:J24"/>
    <mergeCell ref="B25:J25"/>
    <mergeCell ref="B29:J29"/>
    <mergeCell ref="B30:J30"/>
    <mergeCell ref="B31:J31"/>
    <mergeCell ref="B32:J32"/>
    <mergeCell ref="B33:J33"/>
    <mergeCell ref="B34:J34"/>
    <mergeCell ref="B35:J35"/>
  </mergeCells>
  <dataValidations>
    <dataValidation type="custom" allowBlank="1" showDropDown="1" showInputMessage="1" showErrorMessage="1" prompt="Enter a number" sqref="K8:K16 O8:O25 K30:K39 O30:O47">
      <formula1>ISNUMBER(K8)</formula1>
    </dataValidation>
    <dataValidation type="list" allowBlank="1" showInputMessage="1" showErrorMessage="1" prompt="Click and enter a valid scale from the list of items. The valid scales are Letter, 0-100, 0-4, and None" sqref="B3">
      <formula1>"Letter,0-4,0-100,None"</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8.88"/>
    <col customWidth="1" min="3" max="8" width="6.38"/>
    <col customWidth="1" hidden="1" min="9" max="9" width="18.88"/>
    <col customWidth="1" min="10" max="10" width="18.88"/>
    <col customWidth="1" min="11" max="11" width="6.38"/>
    <col customWidth="1" hidden="1" min="12" max="12" width="18.88"/>
    <col customWidth="1" min="13" max="13" width="6.38"/>
    <col customWidth="1" hidden="1" min="14" max="14" width="6.38"/>
    <col customWidth="1" min="15" max="15" width="6.38"/>
  </cols>
  <sheetData>
    <row r="1" ht="31.5" customHeight="1">
      <c r="A1" s="58"/>
      <c r="B1" s="1"/>
      <c r="C1" s="71" t="s">
        <v>5</v>
      </c>
      <c r="I1" s="58" t="s">
        <v>6</v>
      </c>
      <c r="P1" s="72"/>
    </row>
    <row r="2" ht="15.75" customHeight="1">
      <c r="A2" s="73"/>
      <c r="B2" s="74" t="s">
        <v>50</v>
      </c>
      <c r="C2" s="59" t="s">
        <v>8</v>
      </c>
      <c r="F2" s="60" t="str">
        <f>'Getting Started'!$G$10</f>
        <v/>
      </c>
      <c r="I2" s="59" t="s">
        <v>9</v>
      </c>
      <c r="K2" s="60" t="str">
        <f>'Getting Started'!$I$10</f>
        <v/>
      </c>
      <c r="P2" s="40"/>
    </row>
    <row r="3" ht="15.75" customHeight="1">
      <c r="A3" s="73"/>
      <c r="B3" s="75" t="s">
        <v>51</v>
      </c>
      <c r="C3" s="59" t="s">
        <v>11</v>
      </c>
      <c r="F3" s="61" t="str">
        <f>'Getting Started'!$G$11</f>
        <v/>
      </c>
      <c r="I3" s="59" t="s">
        <v>12</v>
      </c>
      <c r="K3" s="60" t="str">
        <f>'Getting Started'!$I$11</f>
        <v/>
      </c>
      <c r="P3" s="40"/>
    </row>
    <row r="4" ht="31.5" customHeight="1">
      <c r="A4" s="73"/>
      <c r="B4" s="1"/>
      <c r="C4" s="59" t="s">
        <v>13</v>
      </c>
      <c r="F4" s="60" t="str">
        <f>'Getting Started'!$G$12</f>
        <v/>
      </c>
      <c r="I4" s="59" t="s">
        <v>14</v>
      </c>
      <c r="K4" s="60" t="str">
        <f>'Getting Started'!$I$12</f>
        <v/>
      </c>
      <c r="P4" s="40"/>
    </row>
    <row r="5" ht="15.75" customHeight="1">
      <c r="A5" s="73"/>
      <c r="B5" s="1"/>
      <c r="C5" s="59" t="s">
        <v>15</v>
      </c>
      <c r="F5" s="62" t="str">
        <f>'Getting Started'!$G$14</f>
        <v/>
      </c>
      <c r="I5" s="59" t="s">
        <v>16</v>
      </c>
      <c r="K5" s="60" t="str">
        <f>'Getting Started'!$I$14</f>
        <v/>
      </c>
      <c r="P5" s="40"/>
    </row>
    <row r="6" ht="15.75" customHeight="1">
      <c r="A6" s="73"/>
      <c r="B6" s="19" t="s">
        <v>74</v>
      </c>
      <c r="P6" s="40"/>
    </row>
    <row r="7" ht="31.5" customHeight="1">
      <c r="A7" s="40"/>
      <c r="B7" s="76" t="s">
        <v>53</v>
      </c>
      <c r="C7" s="8"/>
      <c r="D7" s="8"/>
      <c r="E7" s="8"/>
      <c r="F7" s="8"/>
      <c r="G7" s="8"/>
      <c r="H7" s="8"/>
      <c r="I7" s="8"/>
      <c r="J7" s="77"/>
      <c r="K7" s="78" t="s">
        <v>54</v>
      </c>
      <c r="L7" s="79" t="s">
        <v>55</v>
      </c>
      <c r="M7" s="80" t="s">
        <v>56</v>
      </c>
      <c r="N7" s="81"/>
      <c r="O7" s="82" t="s">
        <v>57</v>
      </c>
      <c r="P7" s="1"/>
    </row>
    <row r="8" ht="15.75" customHeight="1">
      <c r="A8" s="40"/>
      <c r="B8" s="83"/>
      <c r="J8" s="47"/>
      <c r="K8" s="84"/>
      <c r="L8" s="85"/>
      <c r="M8" s="86"/>
      <c r="N8" s="87"/>
      <c r="O8" s="88"/>
      <c r="P8" s="1"/>
    </row>
    <row r="9" ht="15.75" customHeight="1">
      <c r="A9" s="40"/>
      <c r="B9" s="141"/>
      <c r="J9" s="47"/>
      <c r="K9" s="84"/>
      <c r="L9" s="85" t="b">
        <v>0</v>
      </c>
      <c r="M9" s="86"/>
      <c r="N9" s="142"/>
      <c r="O9" s="88"/>
      <c r="P9" s="40"/>
    </row>
    <row r="10" ht="15.75" customHeight="1">
      <c r="A10" s="40"/>
      <c r="B10" s="141"/>
      <c r="J10" s="47"/>
      <c r="K10" s="84"/>
      <c r="L10" s="143" t="b">
        <v>0</v>
      </c>
      <c r="M10" s="86"/>
      <c r="N10" s="142"/>
      <c r="O10" s="144"/>
      <c r="P10" s="40"/>
    </row>
    <row r="11" ht="15.75" customHeight="1">
      <c r="A11" s="40"/>
      <c r="B11" s="141"/>
      <c r="J11" s="47"/>
      <c r="K11" s="145"/>
      <c r="L11" s="143" t="b">
        <v>0</v>
      </c>
      <c r="M11" s="146"/>
      <c r="N11" s="142"/>
      <c r="O11" s="144"/>
      <c r="P11" s="40"/>
    </row>
    <row r="12" ht="15.75" customHeight="1">
      <c r="A12" s="40"/>
      <c r="B12" s="141"/>
      <c r="J12" s="47"/>
      <c r="K12" s="145"/>
      <c r="L12" s="85" t="b">
        <v>0</v>
      </c>
      <c r="M12" s="146"/>
      <c r="N12" s="142"/>
      <c r="O12" s="144"/>
      <c r="P12" s="40"/>
    </row>
    <row r="13" ht="15.75" customHeight="1">
      <c r="A13" s="40"/>
      <c r="B13" s="141"/>
      <c r="J13" s="47"/>
      <c r="K13" s="145"/>
      <c r="L13" s="85" t="b">
        <v>0</v>
      </c>
      <c r="M13" s="146"/>
      <c r="N13" s="142"/>
      <c r="O13" s="144"/>
      <c r="P13" s="40"/>
    </row>
    <row r="14" ht="15.75" customHeight="1">
      <c r="A14" s="40"/>
      <c r="B14" s="141"/>
      <c r="J14" s="47"/>
      <c r="K14" s="145"/>
      <c r="L14" s="85" t="b">
        <v>0</v>
      </c>
      <c r="M14" s="146"/>
      <c r="N14" s="142"/>
      <c r="O14" s="144"/>
      <c r="P14" s="40"/>
    </row>
    <row r="15" ht="15.75" customHeight="1">
      <c r="A15" s="40"/>
      <c r="B15" s="141"/>
      <c r="J15" s="47"/>
      <c r="K15" s="145"/>
      <c r="L15" s="143" t="b">
        <v>0</v>
      </c>
      <c r="M15" s="146"/>
      <c r="N15" s="142"/>
      <c r="O15" s="144"/>
      <c r="P15" s="40"/>
    </row>
    <row r="16" ht="15.75" customHeight="1">
      <c r="A16" s="40"/>
      <c r="B16" s="141"/>
      <c r="J16" s="47"/>
      <c r="K16" s="145"/>
      <c r="L16" s="143" t="b">
        <v>0</v>
      </c>
      <c r="M16" s="146"/>
      <c r="N16" s="142"/>
      <c r="O16" s="144"/>
      <c r="P16" s="40"/>
    </row>
    <row r="17" ht="15.75" customHeight="1">
      <c r="A17" s="40"/>
      <c r="B17" s="141"/>
      <c r="J17" s="47"/>
      <c r="K17" s="145"/>
      <c r="L17" s="143" t="b">
        <v>0</v>
      </c>
      <c r="M17" s="146"/>
      <c r="N17" s="142"/>
      <c r="O17" s="144"/>
      <c r="P17" s="40"/>
    </row>
    <row r="18" ht="15.75" customHeight="1">
      <c r="A18" s="40"/>
      <c r="B18" s="141"/>
      <c r="J18" s="47"/>
      <c r="K18" s="145"/>
      <c r="L18" s="143" t="b">
        <v>0</v>
      </c>
      <c r="M18" s="146"/>
      <c r="N18" s="142"/>
      <c r="O18" s="144"/>
      <c r="P18" s="40"/>
    </row>
    <row r="19" ht="15.75" customHeight="1">
      <c r="A19" s="40"/>
      <c r="B19" s="141"/>
      <c r="J19" s="47"/>
      <c r="K19" s="145"/>
      <c r="L19" s="143" t="b">
        <v>0</v>
      </c>
      <c r="M19" s="146"/>
      <c r="N19" s="142"/>
      <c r="O19" s="144"/>
      <c r="P19" s="40"/>
    </row>
    <row r="20" ht="15.75" customHeight="1">
      <c r="A20" s="40"/>
      <c r="B20" s="141"/>
      <c r="J20" s="47"/>
      <c r="K20" s="145"/>
      <c r="L20" s="143" t="b">
        <v>0</v>
      </c>
      <c r="M20" s="146"/>
      <c r="N20" s="142"/>
      <c r="O20" s="144"/>
      <c r="P20" s="40"/>
    </row>
    <row r="21" ht="15.75" customHeight="1">
      <c r="A21" s="40"/>
      <c r="B21" s="141"/>
      <c r="J21" s="47"/>
      <c r="K21" s="145"/>
      <c r="L21" s="143" t="b">
        <v>0</v>
      </c>
      <c r="M21" s="146"/>
      <c r="N21" s="142"/>
      <c r="O21" s="144"/>
      <c r="P21" s="40"/>
    </row>
    <row r="22" ht="15.75" customHeight="1">
      <c r="A22" s="40"/>
      <c r="B22" s="141"/>
      <c r="J22" s="47"/>
      <c r="K22" s="145"/>
      <c r="L22" s="143" t="b">
        <v>0</v>
      </c>
      <c r="M22" s="146"/>
      <c r="N22" s="142"/>
      <c r="O22" s="144"/>
      <c r="P22" s="40"/>
    </row>
    <row r="23" ht="15.75" customHeight="1">
      <c r="A23" s="40"/>
      <c r="B23" s="141"/>
      <c r="J23" s="47"/>
      <c r="K23" s="145"/>
      <c r="L23" s="143" t="b">
        <v>0</v>
      </c>
      <c r="M23" s="146"/>
      <c r="N23" s="142"/>
      <c r="O23" s="144"/>
      <c r="P23" s="40"/>
    </row>
    <row r="24" ht="15.75" customHeight="1">
      <c r="A24" s="40"/>
      <c r="B24" s="141"/>
      <c r="J24" s="47"/>
      <c r="K24" s="145"/>
      <c r="L24" s="143" t="b">
        <v>0</v>
      </c>
      <c r="M24" s="146"/>
      <c r="N24" s="142"/>
      <c r="O24" s="144"/>
      <c r="P24" s="40"/>
    </row>
    <row r="25" ht="15.75" customHeight="1">
      <c r="A25" s="40"/>
      <c r="B25" s="89"/>
      <c r="C25" s="16"/>
      <c r="D25" s="16"/>
      <c r="E25" s="16"/>
      <c r="F25" s="16"/>
      <c r="G25" s="16"/>
      <c r="H25" s="16"/>
      <c r="I25" s="16"/>
      <c r="J25" s="90"/>
      <c r="K25" s="91"/>
      <c r="L25" s="92" t="b">
        <v>0</v>
      </c>
      <c r="M25" s="93"/>
      <c r="N25" s="94"/>
      <c r="O25" s="95"/>
      <c r="P25" s="40"/>
    </row>
    <row r="26" ht="15.75" customHeight="1">
      <c r="A26" s="40"/>
      <c r="B26" s="96"/>
      <c r="C26" s="1"/>
      <c r="D26" s="1"/>
      <c r="E26" s="1"/>
      <c r="F26" s="1"/>
      <c r="G26" s="1"/>
      <c r="H26" s="1"/>
      <c r="I26" s="1"/>
      <c r="J26" s="101" t="s">
        <v>75</v>
      </c>
      <c r="K26" s="102"/>
      <c r="L26" s="1"/>
      <c r="M26" s="1"/>
      <c r="N26" s="97"/>
      <c r="O26" s="97"/>
      <c r="P26" s="40"/>
    </row>
    <row r="27" ht="15.75" customHeight="1">
      <c r="A27" s="40"/>
      <c r="B27" s="96"/>
      <c r="C27" s="100"/>
      <c r="D27" s="100"/>
      <c r="E27" s="100"/>
      <c r="F27" s="100"/>
      <c r="G27" s="100"/>
      <c r="H27" s="100"/>
      <c r="I27" s="100"/>
      <c r="J27" s="108" t="s">
        <v>63</v>
      </c>
      <c r="K27" s="109"/>
      <c r="L27" s="110"/>
      <c r="M27" s="111" t="s">
        <v>64</v>
      </c>
      <c r="N27" s="109"/>
      <c r="O27" s="102"/>
      <c r="P27" s="40"/>
    </row>
    <row r="28" ht="15.75" customHeight="1">
      <c r="A28" s="40"/>
      <c r="B28" s="19" t="s">
        <v>76</v>
      </c>
      <c r="C28" s="100"/>
      <c r="D28" s="100"/>
      <c r="E28" s="100"/>
      <c r="F28" s="100"/>
      <c r="G28" s="100"/>
      <c r="H28" s="100"/>
      <c r="I28" s="100"/>
      <c r="J28" s="117" t="str">
        <f t="array" ref="J28">GPA({K8:K25,M8:M25,O8:O25},1,2)</f>
        <v>Loading...</v>
      </c>
      <c r="K28" s="118"/>
      <c r="L28" s="110"/>
      <c r="M28" s="119" t="str">
        <f t="array" ref="M28">CREDITSSUM({K8:K25,M8:M25},1,2)</f>
        <v>Loading...</v>
      </c>
      <c r="N28" s="118"/>
      <c r="O28" s="120"/>
      <c r="P28" s="40"/>
    </row>
    <row r="29" ht="31.5" customHeight="1">
      <c r="A29" s="40"/>
      <c r="B29" s="76" t="s">
        <v>53</v>
      </c>
      <c r="C29" s="8"/>
      <c r="D29" s="8"/>
      <c r="E29" s="8"/>
      <c r="F29" s="8"/>
      <c r="G29" s="8"/>
      <c r="H29" s="8"/>
      <c r="I29" s="8"/>
      <c r="J29" s="77"/>
      <c r="K29" s="78" t="s">
        <v>54</v>
      </c>
      <c r="L29" s="79" t="s">
        <v>55</v>
      </c>
      <c r="M29" s="80" t="s">
        <v>56</v>
      </c>
      <c r="N29" s="81"/>
      <c r="O29" s="82" t="s">
        <v>57</v>
      </c>
      <c r="P29" s="1"/>
    </row>
    <row r="30" ht="15.75" customHeight="1">
      <c r="A30" s="40"/>
      <c r="B30" s="83"/>
      <c r="J30" s="47"/>
      <c r="K30" s="84"/>
      <c r="L30" s="85"/>
      <c r="M30" s="86"/>
      <c r="N30" s="87"/>
      <c r="O30" s="88"/>
      <c r="P30" s="1"/>
    </row>
    <row r="31" ht="15.75" customHeight="1">
      <c r="A31" s="40"/>
      <c r="B31" s="141"/>
      <c r="J31" s="47"/>
      <c r="K31" s="84"/>
      <c r="L31" s="85" t="b">
        <v>0</v>
      </c>
      <c r="M31" s="86"/>
      <c r="N31" s="142"/>
      <c r="O31" s="88"/>
      <c r="P31" s="40"/>
    </row>
    <row r="32" ht="15.75" customHeight="1">
      <c r="A32" s="40"/>
      <c r="B32" s="141"/>
      <c r="J32" s="47"/>
      <c r="K32" s="84"/>
      <c r="L32" s="143" t="b">
        <v>0</v>
      </c>
      <c r="M32" s="86"/>
      <c r="N32" s="142"/>
      <c r="O32" s="144"/>
      <c r="P32" s="40"/>
    </row>
    <row r="33" ht="15.75" customHeight="1">
      <c r="A33" s="40"/>
      <c r="B33" s="141"/>
      <c r="J33" s="47"/>
      <c r="K33" s="145"/>
      <c r="L33" s="143" t="b">
        <v>0</v>
      </c>
      <c r="M33" s="146"/>
      <c r="N33" s="142"/>
      <c r="O33" s="144"/>
      <c r="P33" s="40"/>
    </row>
    <row r="34" ht="15.75" customHeight="1">
      <c r="A34" s="40"/>
      <c r="B34" s="141"/>
      <c r="J34" s="47"/>
      <c r="K34" s="145"/>
      <c r="L34" s="85" t="b">
        <v>0</v>
      </c>
      <c r="M34" s="146"/>
      <c r="N34" s="142"/>
      <c r="O34" s="144"/>
      <c r="P34" s="40"/>
    </row>
    <row r="35" ht="15.75" customHeight="1">
      <c r="A35" s="40"/>
      <c r="B35" s="141"/>
      <c r="J35" s="47"/>
      <c r="K35" s="145"/>
      <c r="L35" s="85" t="b">
        <v>0</v>
      </c>
      <c r="M35" s="146"/>
      <c r="N35" s="142"/>
      <c r="O35" s="144"/>
      <c r="P35" s="40"/>
    </row>
    <row r="36" ht="15.75" customHeight="1">
      <c r="A36" s="40"/>
      <c r="B36" s="141"/>
      <c r="J36" s="47"/>
      <c r="K36" s="145"/>
      <c r="L36" s="85" t="b">
        <v>0</v>
      </c>
      <c r="M36" s="146"/>
      <c r="N36" s="142"/>
      <c r="O36" s="144"/>
      <c r="P36" s="40"/>
    </row>
    <row r="37" ht="15.75" customHeight="1">
      <c r="A37" s="40"/>
      <c r="B37" s="141"/>
      <c r="J37" s="47"/>
      <c r="K37" s="146"/>
      <c r="L37" s="85" t="b">
        <v>0</v>
      </c>
      <c r="M37" s="146"/>
      <c r="N37" s="142"/>
      <c r="O37" s="144"/>
      <c r="P37" s="40"/>
    </row>
    <row r="38" ht="15.75" customHeight="1">
      <c r="A38" s="40"/>
      <c r="B38" s="141"/>
      <c r="J38" s="47"/>
      <c r="K38" s="145"/>
      <c r="L38" s="143" t="b">
        <v>0</v>
      </c>
      <c r="M38" s="146"/>
      <c r="N38" s="142"/>
      <c r="O38" s="144"/>
      <c r="P38" s="40"/>
    </row>
    <row r="39" ht="15.75" customHeight="1">
      <c r="A39" s="40"/>
      <c r="B39" s="141"/>
      <c r="J39" s="47"/>
      <c r="K39" s="145"/>
      <c r="L39" s="143" t="b">
        <v>0</v>
      </c>
      <c r="M39" s="146"/>
      <c r="N39" s="142"/>
      <c r="O39" s="144"/>
      <c r="P39" s="40"/>
    </row>
    <row r="40" ht="15.75" customHeight="1">
      <c r="A40" s="40"/>
      <c r="B40" s="141"/>
      <c r="J40" s="47"/>
      <c r="K40" s="145"/>
      <c r="L40" s="143" t="b">
        <v>0</v>
      </c>
      <c r="M40" s="146"/>
      <c r="N40" s="142"/>
      <c r="O40" s="144"/>
      <c r="P40" s="40"/>
    </row>
    <row r="41" ht="15.75" customHeight="1">
      <c r="A41" s="40"/>
      <c r="B41" s="141"/>
      <c r="J41" s="47"/>
      <c r="K41" s="145"/>
      <c r="L41" s="143" t="b">
        <v>0</v>
      </c>
      <c r="M41" s="146"/>
      <c r="N41" s="142"/>
      <c r="O41" s="144"/>
      <c r="P41" s="40"/>
    </row>
    <row r="42" ht="15.75" customHeight="1">
      <c r="A42" s="40"/>
      <c r="B42" s="141"/>
      <c r="J42" s="47"/>
      <c r="K42" s="145"/>
      <c r="L42" s="143" t="b">
        <v>0</v>
      </c>
      <c r="M42" s="146"/>
      <c r="N42" s="142"/>
      <c r="O42" s="144"/>
      <c r="P42" s="40"/>
    </row>
    <row r="43" ht="15.75" customHeight="1">
      <c r="A43" s="40"/>
      <c r="B43" s="141"/>
      <c r="J43" s="47"/>
      <c r="K43" s="145"/>
      <c r="L43" s="143" t="b">
        <v>0</v>
      </c>
      <c r="M43" s="146"/>
      <c r="N43" s="142"/>
      <c r="O43" s="144"/>
      <c r="P43" s="40"/>
    </row>
    <row r="44" ht="15.75" customHeight="1">
      <c r="A44" s="40"/>
      <c r="B44" s="141"/>
      <c r="J44" s="47"/>
      <c r="K44" s="145"/>
      <c r="L44" s="143" t="b">
        <v>0</v>
      </c>
      <c r="M44" s="146"/>
      <c r="N44" s="142"/>
      <c r="O44" s="144"/>
      <c r="P44" s="40"/>
    </row>
    <row r="45" ht="15.75" customHeight="1">
      <c r="A45" s="40"/>
      <c r="B45" s="141"/>
      <c r="J45" s="47"/>
      <c r="K45" s="145"/>
      <c r="L45" s="143" t="b">
        <v>0</v>
      </c>
      <c r="M45" s="146"/>
      <c r="N45" s="142"/>
      <c r="O45" s="144"/>
      <c r="P45" s="40"/>
    </row>
    <row r="46" ht="15.75" customHeight="1">
      <c r="A46" s="40"/>
      <c r="B46" s="141"/>
      <c r="J46" s="47"/>
      <c r="K46" s="145"/>
      <c r="L46" s="143" t="b">
        <v>0</v>
      </c>
      <c r="M46" s="146"/>
      <c r="N46" s="142"/>
      <c r="O46" s="144"/>
      <c r="P46" s="40"/>
    </row>
    <row r="47" ht="15.75" customHeight="1">
      <c r="A47" s="40"/>
      <c r="B47" s="89"/>
      <c r="C47" s="16"/>
      <c r="D47" s="16"/>
      <c r="E47" s="16"/>
      <c r="F47" s="16"/>
      <c r="G47" s="16"/>
      <c r="H47" s="16"/>
      <c r="I47" s="16"/>
      <c r="J47" s="90"/>
      <c r="K47" s="91"/>
      <c r="L47" s="92" t="b">
        <v>0</v>
      </c>
      <c r="M47" s="93"/>
      <c r="N47" s="94"/>
      <c r="O47" s="95"/>
      <c r="P47" s="40"/>
    </row>
    <row r="48" ht="15.75" customHeight="1">
      <c r="A48" s="40"/>
      <c r="B48" s="96"/>
      <c r="C48" s="1"/>
      <c r="D48" s="1"/>
      <c r="E48" s="1"/>
      <c r="F48" s="1"/>
      <c r="G48" s="1"/>
      <c r="H48" s="1"/>
      <c r="I48" s="1"/>
      <c r="J48" s="101" t="s">
        <v>77</v>
      </c>
      <c r="K48" s="102"/>
      <c r="L48" s="1"/>
      <c r="M48" s="1"/>
      <c r="N48" s="97"/>
      <c r="O48" s="97"/>
      <c r="P48" s="40"/>
    </row>
    <row r="49" ht="15.75" customHeight="1">
      <c r="A49" s="40"/>
      <c r="B49" s="1"/>
      <c r="C49" s="1"/>
      <c r="D49" s="1"/>
      <c r="E49" s="1"/>
      <c r="F49" s="1"/>
      <c r="G49" s="1"/>
      <c r="H49" s="1"/>
      <c r="I49" s="100"/>
      <c r="J49" s="108" t="s">
        <v>63</v>
      </c>
      <c r="K49" s="109"/>
      <c r="L49" s="110"/>
      <c r="M49" s="111" t="s">
        <v>64</v>
      </c>
      <c r="N49" s="109"/>
      <c r="O49" s="102"/>
      <c r="P49" s="40"/>
    </row>
    <row r="50" ht="15.75" customHeight="1">
      <c r="A50" s="40"/>
      <c r="B50" s="98" t="s">
        <v>58</v>
      </c>
      <c r="C50" s="99"/>
      <c r="D50" s="99"/>
      <c r="E50" s="99"/>
      <c r="F50" s="99"/>
      <c r="G50" s="99"/>
      <c r="H50" s="99"/>
      <c r="I50" s="100"/>
      <c r="J50" s="117" t="str">
        <f t="array" ref="J50">GPA({K30:K47,M30:M47,O30:O47},1,2)</f>
        <v>Loading...</v>
      </c>
      <c r="K50" s="118"/>
      <c r="L50" s="110"/>
      <c r="M50" s="119" t="str">
        <f t="array" ref="M50">CREDITSSUM({K30:K47,M30:M47},1,2)</f>
        <v>Loading...</v>
      </c>
      <c r="N50" s="118"/>
      <c r="O50" s="120"/>
      <c r="P50" s="40"/>
    </row>
    <row r="51" ht="15.75" customHeight="1">
      <c r="A51" s="40"/>
      <c r="B51" s="103" t="s">
        <v>60</v>
      </c>
      <c r="C51" s="104" t="s">
        <v>61</v>
      </c>
      <c r="D51" s="105"/>
      <c r="E51" s="106"/>
      <c r="F51" s="104" t="s">
        <v>62</v>
      </c>
      <c r="G51" s="105"/>
      <c r="H51" s="107"/>
      <c r="I51" s="110"/>
      <c r="J51" s="1"/>
      <c r="K51" s="1"/>
      <c r="L51" s="1"/>
      <c r="M51" s="1"/>
      <c r="N51" s="1"/>
      <c r="O51" s="1"/>
      <c r="P51" s="40"/>
    </row>
    <row r="52" ht="15.75" customHeight="1">
      <c r="A52" s="40"/>
      <c r="B52" s="112"/>
      <c r="C52" s="113" t="s">
        <v>65</v>
      </c>
      <c r="D52" s="114" t="s">
        <v>66</v>
      </c>
      <c r="E52" s="115" t="s">
        <v>67</v>
      </c>
      <c r="F52" s="113" t="s">
        <v>65</v>
      </c>
      <c r="G52" s="114" t="s">
        <v>66</v>
      </c>
      <c r="H52" s="116" t="s">
        <v>67</v>
      </c>
      <c r="I52" s="110"/>
      <c r="J52" s="1"/>
      <c r="K52" s="1"/>
      <c r="L52" s="1"/>
      <c r="M52" s="1"/>
      <c r="N52" s="1"/>
      <c r="O52" s="1"/>
      <c r="P52" s="40"/>
    </row>
    <row r="53" ht="15.75" customHeight="1">
      <c r="A53" s="40"/>
      <c r="B53" s="132" t="s">
        <v>68</v>
      </c>
      <c r="C53" s="122"/>
      <c r="D53" s="84"/>
      <c r="E53" s="123"/>
      <c r="F53" s="86"/>
      <c r="G53" s="84"/>
      <c r="H53" s="124"/>
      <c r="I53" s="110"/>
      <c r="J53" s="101" t="s">
        <v>59</v>
      </c>
      <c r="K53" s="102"/>
      <c r="L53" s="1"/>
      <c r="M53" s="1"/>
      <c r="N53" s="97"/>
      <c r="O53" s="97"/>
      <c r="P53" s="40"/>
    </row>
    <row r="54" ht="15.75" customHeight="1">
      <c r="A54" s="40"/>
      <c r="B54" s="132" t="s">
        <v>69</v>
      </c>
      <c r="C54" s="122"/>
      <c r="D54" s="84"/>
      <c r="E54" s="123"/>
      <c r="F54" s="86"/>
      <c r="G54" s="84"/>
      <c r="H54" s="124"/>
      <c r="I54" s="110"/>
      <c r="J54" s="108" t="s">
        <v>63</v>
      </c>
      <c r="K54" s="109"/>
      <c r="L54" s="110"/>
      <c r="M54" s="111" t="s">
        <v>64</v>
      </c>
      <c r="N54" s="109"/>
      <c r="O54" s="102"/>
      <c r="P54" s="40"/>
    </row>
    <row r="55" ht="15.75" customHeight="1">
      <c r="A55" s="40"/>
      <c r="B55" s="121" t="s">
        <v>70</v>
      </c>
      <c r="C55" s="122"/>
      <c r="D55" s="84"/>
      <c r="E55" s="123"/>
      <c r="F55" s="86"/>
      <c r="G55" s="84"/>
      <c r="H55" s="124"/>
      <c r="I55" s="110"/>
      <c r="J55" s="117" t="str">
        <f t="array" ref="J55">GPA({K8:K25,M8:M25,O8:O25;K30:K47,M30:M47,O30:O47},1,2)</f>
        <v>Loading...</v>
      </c>
      <c r="K55" s="118"/>
      <c r="L55" s="110"/>
      <c r="M55" s="119" t="str">
        <f t="array" ref="M55">CREDITSSUM({K8:K25,M8:M25;K30:K47,M30:M47},1,2)</f>
        <v>Loading...</v>
      </c>
      <c r="N55" s="118"/>
      <c r="O55" s="120"/>
      <c r="P55" s="40"/>
    </row>
    <row r="56" ht="15.75" customHeight="1">
      <c r="A56" s="40"/>
      <c r="B56" s="125" t="s">
        <v>71</v>
      </c>
      <c r="C56" s="126"/>
      <c r="D56" s="127"/>
      <c r="E56" s="128"/>
      <c r="F56" s="129"/>
      <c r="G56" s="127"/>
      <c r="H56" s="130"/>
      <c r="I56" s="97"/>
      <c r="J56" s="97"/>
      <c r="K56" s="97"/>
      <c r="L56" s="131"/>
      <c r="M56" s="97"/>
      <c r="N56" s="97"/>
      <c r="O56" s="97"/>
      <c r="P56" s="40"/>
    </row>
    <row r="57" ht="15.75" customHeight="1">
      <c r="A57" s="40"/>
      <c r="B57" s="96"/>
      <c r="C57" s="97"/>
      <c r="D57" s="97"/>
      <c r="E57" s="97"/>
      <c r="F57" s="97"/>
      <c r="G57" s="97"/>
      <c r="H57" s="97"/>
      <c r="I57" s="97"/>
      <c r="J57" s="97"/>
      <c r="K57" s="97"/>
      <c r="L57" s="131"/>
      <c r="M57" s="97"/>
      <c r="N57" s="97"/>
      <c r="O57" s="97"/>
      <c r="P57" s="40"/>
    </row>
    <row r="58" ht="15.75" customHeight="1">
      <c r="A58" s="40"/>
      <c r="B58" s="96"/>
      <c r="C58" s="97"/>
      <c r="D58" s="97"/>
      <c r="E58" s="97"/>
      <c r="F58" s="97"/>
      <c r="G58" s="97"/>
      <c r="H58" s="97"/>
      <c r="I58" s="97"/>
      <c r="J58" s="97"/>
      <c r="K58" s="97"/>
      <c r="L58" s="131"/>
      <c r="M58" s="97"/>
      <c r="N58" s="97"/>
      <c r="O58" s="97"/>
      <c r="P58" s="40"/>
    </row>
  </sheetData>
  <mergeCells count="74">
    <mergeCell ref="B36:J36"/>
    <mergeCell ref="B37:J37"/>
    <mergeCell ref="B38:J38"/>
    <mergeCell ref="B39:J39"/>
    <mergeCell ref="B40:J40"/>
    <mergeCell ref="B41:J41"/>
    <mergeCell ref="B42:J42"/>
    <mergeCell ref="J49:K49"/>
    <mergeCell ref="J50:K50"/>
    <mergeCell ref="M50:O50"/>
    <mergeCell ref="B51:B52"/>
    <mergeCell ref="C51:E51"/>
    <mergeCell ref="F51:H51"/>
    <mergeCell ref="J53:K53"/>
    <mergeCell ref="J54:K54"/>
    <mergeCell ref="M54:O54"/>
    <mergeCell ref="J55:K55"/>
    <mergeCell ref="M55:O55"/>
    <mergeCell ref="B43:J43"/>
    <mergeCell ref="B44:J44"/>
    <mergeCell ref="B45:J45"/>
    <mergeCell ref="B46:J46"/>
    <mergeCell ref="B47:J47"/>
    <mergeCell ref="J48:K48"/>
    <mergeCell ref="M49:O49"/>
    <mergeCell ref="C1:H1"/>
    <mergeCell ref="I1:O1"/>
    <mergeCell ref="C2:E2"/>
    <mergeCell ref="F2:H2"/>
    <mergeCell ref="I2:J2"/>
    <mergeCell ref="K2:O2"/>
    <mergeCell ref="C3:E3"/>
    <mergeCell ref="K3:O3"/>
    <mergeCell ref="F3:H3"/>
    <mergeCell ref="I3:J3"/>
    <mergeCell ref="C4:E4"/>
    <mergeCell ref="F4:H4"/>
    <mergeCell ref="I4:J4"/>
    <mergeCell ref="K4:O4"/>
    <mergeCell ref="C5:E6"/>
    <mergeCell ref="K5:O6"/>
    <mergeCell ref="F5:H6"/>
    <mergeCell ref="I5:J6"/>
    <mergeCell ref="B7:J7"/>
    <mergeCell ref="B8:J8"/>
    <mergeCell ref="B9:J9"/>
    <mergeCell ref="B10:J10"/>
    <mergeCell ref="B11:J11"/>
    <mergeCell ref="B12:J12"/>
    <mergeCell ref="B13:J13"/>
    <mergeCell ref="B14:J14"/>
    <mergeCell ref="B15:J15"/>
    <mergeCell ref="B16:J16"/>
    <mergeCell ref="B17:J17"/>
    <mergeCell ref="B18:J18"/>
    <mergeCell ref="J26:K26"/>
    <mergeCell ref="J27:K27"/>
    <mergeCell ref="M27:O27"/>
    <mergeCell ref="J28:K28"/>
    <mergeCell ref="M28:O28"/>
    <mergeCell ref="B19:J19"/>
    <mergeCell ref="B20:J20"/>
    <mergeCell ref="B21:J21"/>
    <mergeCell ref="B22:J22"/>
    <mergeCell ref="B23:J23"/>
    <mergeCell ref="B24:J24"/>
    <mergeCell ref="B25:J25"/>
    <mergeCell ref="B29:J29"/>
    <mergeCell ref="B30:J30"/>
    <mergeCell ref="B31:J31"/>
    <mergeCell ref="B32:J32"/>
    <mergeCell ref="B33:J33"/>
    <mergeCell ref="B34:J34"/>
    <mergeCell ref="B35:J35"/>
  </mergeCells>
  <dataValidations>
    <dataValidation type="custom" allowBlank="1" showDropDown="1" showInputMessage="1" showErrorMessage="1" prompt="Enter a number" sqref="K8:K16 O8:O25 K30:K39 O30:O47">
      <formula1>ISNUMBER(K8)</formula1>
    </dataValidation>
    <dataValidation type="list" allowBlank="1" showInputMessage="1" showErrorMessage="1" prompt="Click and enter a valid scale from the list of items. The valid scales are Letter, 0-100, 0-4, and None" sqref="B3">
      <formula1>"Letter,0-4,0-100,None"</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8.88"/>
    <col customWidth="1" min="3" max="8" width="6.38"/>
    <col customWidth="1" hidden="1" min="9" max="9" width="18.88"/>
    <col customWidth="1" min="10" max="10" width="18.88"/>
    <col customWidth="1" min="11" max="11" width="6.38"/>
    <col customWidth="1" hidden="1" min="12" max="12" width="18.88"/>
    <col customWidth="1" min="13" max="13" width="6.38"/>
    <col customWidth="1" hidden="1" min="14" max="14" width="6.38"/>
    <col customWidth="1" min="15" max="15" width="6.38"/>
  </cols>
  <sheetData>
    <row r="1" ht="31.5" customHeight="1">
      <c r="A1" s="58"/>
      <c r="B1" s="1"/>
      <c r="C1" s="71" t="s">
        <v>5</v>
      </c>
      <c r="I1" s="58" t="s">
        <v>6</v>
      </c>
      <c r="P1" s="72"/>
    </row>
    <row r="2" ht="15.75" customHeight="1">
      <c r="A2" s="73"/>
      <c r="B2" s="74" t="s">
        <v>50</v>
      </c>
      <c r="C2" s="59" t="s">
        <v>8</v>
      </c>
      <c r="F2" s="60" t="str">
        <f>'Getting Started'!$G$10</f>
        <v/>
      </c>
      <c r="I2" s="59" t="s">
        <v>9</v>
      </c>
      <c r="K2" s="60" t="str">
        <f>'Getting Started'!$I$10</f>
        <v/>
      </c>
      <c r="P2" s="40"/>
    </row>
    <row r="3" ht="15.75" customHeight="1">
      <c r="A3" s="73"/>
      <c r="B3" s="75" t="s">
        <v>51</v>
      </c>
      <c r="C3" s="59" t="s">
        <v>11</v>
      </c>
      <c r="F3" s="61" t="str">
        <f>'Getting Started'!$G$11</f>
        <v/>
      </c>
      <c r="I3" s="59" t="s">
        <v>12</v>
      </c>
      <c r="K3" s="60" t="str">
        <f>'Getting Started'!$I$11</f>
        <v/>
      </c>
      <c r="P3" s="40"/>
    </row>
    <row r="4" ht="31.5" customHeight="1">
      <c r="A4" s="73"/>
      <c r="B4" s="1"/>
      <c r="C4" s="59" t="s">
        <v>13</v>
      </c>
      <c r="F4" s="60" t="str">
        <f>'Getting Started'!$G$12</f>
        <v/>
      </c>
      <c r="I4" s="59" t="s">
        <v>14</v>
      </c>
      <c r="K4" s="60" t="str">
        <f>'Getting Started'!$I$12</f>
        <v/>
      </c>
      <c r="P4" s="40"/>
    </row>
    <row r="5" ht="15.75" customHeight="1">
      <c r="A5" s="73"/>
      <c r="B5" s="1"/>
      <c r="C5" s="59" t="s">
        <v>15</v>
      </c>
      <c r="F5" s="62" t="str">
        <f>'Getting Started'!$G$14</f>
        <v/>
      </c>
      <c r="I5" s="59" t="s">
        <v>16</v>
      </c>
      <c r="K5" s="60" t="str">
        <f>'Getting Started'!$I$14</f>
        <v/>
      </c>
      <c r="P5" s="40"/>
    </row>
    <row r="6" ht="15.75" customHeight="1">
      <c r="A6" s="73"/>
      <c r="B6" s="19" t="s">
        <v>74</v>
      </c>
      <c r="P6" s="40"/>
    </row>
    <row r="7" ht="31.5" customHeight="1">
      <c r="A7" s="40"/>
      <c r="B7" s="76" t="s">
        <v>53</v>
      </c>
      <c r="C7" s="8"/>
      <c r="D7" s="8"/>
      <c r="E7" s="8"/>
      <c r="F7" s="8"/>
      <c r="G7" s="8"/>
      <c r="H7" s="8"/>
      <c r="I7" s="8"/>
      <c r="J7" s="77"/>
      <c r="K7" s="78" t="s">
        <v>54</v>
      </c>
      <c r="L7" s="79" t="s">
        <v>55</v>
      </c>
      <c r="M7" s="80" t="s">
        <v>56</v>
      </c>
      <c r="N7" s="81"/>
      <c r="O7" s="82" t="s">
        <v>57</v>
      </c>
      <c r="P7" s="1"/>
    </row>
    <row r="8" ht="15.75" customHeight="1">
      <c r="A8" s="40"/>
      <c r="B8" s="83"/>
      <c r="J8" s="47"/>
      <c r="K8" s="84"/>
      <c r="L8" s="85"/>
      <c r="M8" s="86"/>
      <c r="N8" s="87"/>
      <c r="O8" s="88"/>
      <c r="P8" s="1"/>
    </row>
    <row r="9" ht="15.75" customHeight="1">
      <c r="A9" s="40"/>
      <c r="B9" s="141"/>
      <c r="J9" s="47"/>
      <c r="K9" s="84"/>
      <c r="L9" s="85" t="b">
        <v>0</v>
      </c>
      <c r="M9" s="86"/>
      <c r="N9" s="142"/>
      <c r="O9" s="88"/>
      <c r="P9" s="40"/>
    </row>
    <row r="10" ht="15.75" customHeight="1">
      <c r="A10" s="40"/>
      <c r="B10" s="141"/>
      <c r="J10" s="47"/>
      <c r="K10" s="84"/>
      <c r="L10" s="143" t="b">
        <v>0</v>
      </c>
      <c r="M10" s="86"/>
      <c r="N10" s="142"/>
      <c r="O10" s="144"/>
      <c r="P10" s="40"/>
    </row>
    <row r="11" ht="15.75" customHeight="1">
      <c r="A11" s="40"/>
      <c r="B11" s="141"/>
      <c r="J11" s="47"/>
      <c r="K11" s="145"/>
      <c r="L11" s="143" t="b">
        <v>0</v>
      </c>
      <c r="M11" s="146"/>
      <c r="N11" s="142"/>
      <c r="O11" s="144"/>
      <c r="P11" s="40"/>
    </row>
    <row r="12" ht="15.75" customHeight="1">
      <c r="A12" s="40"/>
      <c r="B12" s="141"/>
      <c r="J12" s="47"/>
      <c r="K12" s="145"/>
      <c r="L12" s="85" t="b">
        <v>0</v>
      </c>
      <c r="M12" s="146"/>
      <c r="N12" s="142"/>
      <c r="O12" s="144"/>
      <c r="P12" s="40"/>
    </row>
    <row r="13" ht="15.75" customHeight="1">
      <c r="A13" s="40"/>
      <c r="B13" s="141"/>
      <c r="J13" s="47"/>
      <c r="K13" s="145"/>
      <c r="L13" s="85" t="b">
        <v>0</v>
      </c>
      <c r="M13" s="146"/>
      <c r="N13" s="142"/>
      <c r="O13" s="144"/>
      <c r="P13" s="40"/>
    </row>
    <row r="14" ht="15.75" customHeight="1">
      <c r="A14" s="40"/>
      <c r="B14" s="141"/>
      <c r="J14" s="47"/>
      <c r="K14" s="145"/>
      <c r="L14" s="85" t="b">
        <v>0</v>
      </c>
      <c r="M14" s="146"/>
      <c r="N14" s="142"/>
      <c r="O14" s="144"/>
      <c r="P14" s="40"/>
    </row>
    <row r="15" ht="15.75" customHeight="1">
      <c r="A15" s="40"/>
      <c r="B15" s="141"/>
      <c r="J15" s="47"/>
      <c r="K15" s="145"/>
      <c r="L15" s="143" t="b">
        <v>0</v>
      </c>
      <c r="M15" s="146"/>
      <c r="N15" s="142"/>
      <c r="O15" s="144"/>
      <c r="P15" s="40"/>
    </row>
    <row r="16" ht="15.75" customHeight="1">
      <c r="A16" s="40"/>
      <c r="B16" s="141"/>
      <c r="J16" s="47"/>
      <c r="K16" s="145"/>
      <c r="L16" s="143" t="b">
        <v>0</v>
      </c>
      <c r="M16" s="146"/>
      <c r="N16" s="142"/>
      <c r="O16" s="144"/>
      <c r="P16" s="40"/>
    </row>
    <row r="17" ht="15.75" customHeight="1">
      <c r="A17" s="40"/>
      <c r="B17" s="141"/>
      <c r="J17" s="47"/>
      <c r="K17" s="145"/>
      <c r="L17" s="143" t="b">
        <v>0</v>
      </c>
      <c r="M17" s="146"/>
      <c r="N17" s="142"/>
      <c r="O17" s="144"/>
      <c r="P17" s="40"/>
    </row>
    <row r="18" ht="15.75" customHeight="1">
      <c r="A18" s="40"/>
      <c r="B18" s="141"/>
      <c r="J18" s="47"/>
      <c r="K18" s="145"/>
      <c r="L18" s="143" t="b">
        <v>0</v>
      </c>
      <c r="M18" s="146"/>
      <c r="N18" s="142"/>
      <c r="O18" s="144"/>
      <c r="P18" s="40"/>
    </row>
    <row r="19" ht="15.75" customHeight="1">
      <c r="A19" s="40"/>
      <c r="B19" s="141"/>
      <c r="J19" s="47"/>
      <c r="K19" s="145"/>
      <c r="L19" s="143" t="b">
        <v>0</v>
      </c>
      <c r="M19" s="146"/>
      <c r="N19" s="142"/>
      <c r="O19" s="144"/>
      <c r="P19" s="40"/>
    </row>
    <row r="20" ht="15.75" customHeight="1">
      <c r="A20" s="40"/>
      <c r="B20" s="141"/>
      <c r="J20" s="47"/>
      <c r="K20" s="145"/>
      <c r="L20" s="143" t="b">
        <v>0</v>
      </c>
      <c r="M20" s="146"/>
      <c r="N20" s="142"/>
      <c r="O20" s="144"/>
      <c r="P20" s="40"/>
    </row>
    <row r="21" ht="15.75" customHeight="1">
      <c r="A21" s="40"/>
      <c r="B21" s="141"/>
      <c r="J21" s="47"/>
      <c r="K21" s="145"/>
      <c r="L21" s="143" t="b">
        <v>0</v>
      </c>
      <c r="M21" s="146"/>
      <c r="N21" s="142"/>
      <c r="O21" s="144"/>
      <c r="P21" s="40"/>
    </row>
    <row r="22" ht="15.75" customHeight="1">
      <c r="A22" s="40"/>
      <c r="B22" s="141"/>
      <c r="J22" s="47"/>
      <c r="K22" s="145"/>
      <c r="L22" s="143" t="b">
        <v>0</v>
      </c>
      <c r="M22" s="146"/>
      <c r="N22" s="142"/>
      <c r="O22" s="144"/>
      <c r="P22" s="40"/>
    </row>
    <row r="23" ht="15.75" customHeight="1">
      <c r="A23" s="40"/>
      <c r="B23" s="141"/>
      <c r="J23" s="47"/>
      <c r="K23" s="145"/>
      <c r="L23" s="143" t="b">
        <v>0</v>
      </c>
      <c r="M23" s="146"/>
      <c r="N23" s="142"/>
      <c r="O23" s="144"/>
      <c r="P23" s="40"/>
    </row>
    <row r="24" ht="15.75" customHeight="1">
      <c r="A24" s="40"/>
      <c r="B24" s="141"/>
      <c r="J24" s="47"/>
      <c r="K24" s="145"/>
      <c r="L24" s="143" t="b">
        <v>0</v>
      </c>
      <c r="M24" s="146"/>
      <c r="N24" s="142"/>
      <c r="O24" s="144"/>
      <c r="P24" s="40"/>
    </row>
    <row r="25" ht="15.75" customHeight="1">
      <c r="A25" s="40"/>
      <c r="B25" s="89"/>
      <c r="C25" s="16"/>
      <c r="D25" s="16"/>
      <c r="E25" s="16"/>
      <c r="F25" s="16"/>
      <c r="G25" s="16"/>
      <c r="H25" s="16"/>
      <c r="I25" s="16"/>
      <c r="J25" s="90"/>
      <c r="K25" s="91"/>
      <c r="L25" s="92" t="b">
        <v>0</v>
      </c>
      <c r="M25" s="93"/>
      <c r="N25" s="94"/>
      <c r="O25" s="95"/>
      <c r="P25" s="40"/>
    </row>
    <row r="26" ht="15.75" customHeight="1">
      <c r="A26" s="40"/>
      <c r="B26" s="96"/>
      <c r="C26" s="1"/>
      <c r="D26" s="1"/>
      <c r="E26" s="1"/>
      <c r="F26" s="1"/>
      <c r="G26" s="1"/>
      <c r="H26" s="1"/>
      <c r="I26" s="1"/>
      <c r="J26" s="101" t="s">
        <v>75</v>
      </c>
      <c r="K26" s="102"/>
      <c r="L26" s="1"/>
      <c r="M26" s="1"/>
      <c r="N26" s="97"/>
      <c r="O26" s="97"/>
      <c r="P26" s="40"/>
    </row>
    <row r="27" ht="15.75" customHeight="1">
      <c r="A27" s="40"/>
      <c r="B27" s="96"/>
      <c r="C27" s="100"/>
      <c r="D27" s="100"/>
      <c r="E27" s="100"/>
      <c r="F27" s="100"/>
      <c r="G27" s="100"/>
      <c r="H27" s="100"/>
      <c r="I27" s="100"/>
      <c r="J27" s="108" t="s">
        <v>63</v>
      </c>
      <c r="K27" s="109"/>
      <c r="L27" s="110"/>
      <c r="M27" s="111" t="s">
        <v>64</v>
      </c>
      <c r="N27" s="109"/>
      <c r="O27" s="102"/>
      <c r="P27" s="40"/>
    </row>
    <row r="28" ht="15.75" customHeight="1">
      <c r="A28" s="40"/>
      <c r="B28" s="19" t="s">
        <v>76</v>
      </c>
      <c r="C28" s="100"/>
      <c r="D28" s="100"/>
      <c r="E28" s="100"/>
      <c r="F28" s="100"/>
      <c r="G28" s="100"/>
      <c r="H28" s="100"/>
      <c r="I28" s="100"/>
      <c r="J28" s="117" t="str">
        <f t="array" ref="J28">GPA({K8:K25,M8:M25,O8:O25},1,2)</f>
        <v>Loading...</v>
      </c>
      <c r="K28" s="118"/>
      <c r="L28" s="110"/>
      <c r="M28" s="119" t="str">
        <f t="array" ref="M28">CREDITSSUM({K8:K25,M8:M25},1,2)</f>
        <v>Loading...</v>
      </c>
      <c r="N28" s="118"/>
      <c r="O28" s="120"/>
      <c r="P28" s="40"/>
    </row>
    <row r="29" ht="31.5" customHeight="1">
      <c r="A29" s="40"/>
      <c r="B29" s="76" t="s">
        <v>53</v>
      </c>
      <c r="C29" s="8"/>
      <c r="D29" s="8"/>
      <c r="E29" s="8"/>
      <c r="F29" s="8"/>
      <c r="G29" s="8"/>
      <c r="H29" s="8"/>
      <c r="I29" s="8"/>
      <c r="J29" s="77"/>
      <c r="K29" s="78" t="s">
        <v>54</v>
      </c>
      <c r="L29" s="79" t="s">
        <v>55</v>
      </c>
      <c r="M29" s="80" t="s">
        <v>56</v>
      </c>
      <c r="N29" s="81"/>
      <c r="O29" s="82" t="s">
        <v>57</v>
      </c>
      <c r="P29" s="1"/>
    </row>
    <row r="30" ht="15.75" customHeight="1">
      <c r="A30" s="40"/>
      <c r="B30" s="83"/>
      <c r="J30" s="47"/>
      <c r="K30" s="84"/>
      <c r="L30" s="85"/>
      <c r="M30" s="86"/>
      <c r="N30" s="87"/>
      <c r="O30" s="88"/>
      <c r="P30" s="1"/>
    </row>
    <row r="31" ht="15.75" customHeight="1">
      <c r="A31" s="40"/>
      <c r="B31" s="141"/>
      <c r="J31" s="47"/>
      <c r="K31" s="84"/>
      <c r="L31" s="85" t="b">
        <v>0</v>
      </c>
      <c r="M31" s="86"/>
      <c r="N31" s="142"/>
      <c r="O31" s="88"/>
      <c r="P31" s="40"/>
    </row>
    <row r="32" ht="15.75" customHeight="1">
      <c r="A32" s="40"/>
      <c r="B32" s="141"/>
      <c r="J32" s="47"/>
      <c r="K32" s="84"/>
      <c r="L32" s="143" t="b">
        <v>0</v>
      </c>
      <c r="M32" s="86"/>
      <c r="N32" s="142"/>
      <c r="O32" s="144"/>
      <c r="P32" s="40"/>
    </row>
    <row r="33" ht="15.75" customHeight="1">
      <c r="A33" s="40"/>
      <c r="B33" s="141"/>
      <c r="J33" s="47"/>
      <c r="K33" s="145"/>
      <c r="L33" s="143" t="b">
        <v>0</v>
      </c>
      <c r="M33" s="146"/>
      <c r="N33" s="142"/>
      <c r="O33" s="144"/>
      <c r="P33" s="40"/>
    </row>
    <row r="34" ht="15.75" customHeight="1">
      <c r="A34" s="40"/>
      <c r="B34" s="141"/>
      <c r="J34" s="47"/>
      <c r="K34" s="145"/>
      <c r="L34" s="85" t="b">
        <v>0</v>
      </c>
      <c r="M34" s="146"/>
      <c r="N34" s="142"/>
      <c r="O34" s="144"/>
      <c r="P34" s="40"/>
    </row>
    <row r="35" ht="15.75" customHeight="1">
      <c r="A35" s="40"/>
      <c r="B35" s="141"/>
      <c r="J35" s="47"/>
      <c r="K35" s="145"/>
      <c r="L35" s="85" t="b">
        <v>0</v>
      </c>
      <c r="M35" s="146"/>
      <c r="N35" s="142"/>
      <c r="O35" s="144"/>
      <c r="P35" s="40"/>
    </row>
    <row r="36" ht="15.75" customHeight="1">
      <c r="A36" s="40"/>
      <c r="B36" s="141"/>
      <c r="J36" s="47"/>
      <c r="K36" s="145"/>
      <c r="L36" s="85" t="b">
        <v>0</v>
      </c>
      <c r="M36" s="146"/>
      <c r="N36" s="142"/>
      <c r="O36" s="144"/>
      <c r="P36" s="40"/>
    </row>
    <row r="37" ht="15.75" customHeight="1">
      <c r="A37" s="40"/>
      <c r="B37" s="141"/>
      <c r="J37" s="47"/>
      <c r="K37" s="146"/>
      <c r="L37" s="85" t="b">
        <v>0</v>
      </c>
      <c r="M37" s="146"/>
      <c r="N37" s="142"/>
      <c r="O37" s="144"/>
      <c r="P37" s="40"/>
    </row>
    <row r="38" ht="15.75" customHeight="1">
      <c r="A38" s="40"/>
      <c r="B38" s="141"/>
      <c r="J38" s="47"/>
      <c r="K38" s="145"/>
      <c r="L38" s="143" t="b">
        <v>0</v>
      </c>
      <c r="M38" s="146"/>
      <c r="N38" s="142"/>
      <c r="O38" s="144"/>
      <c r="P38" s="40"/>
    </row>
    <row r="39" ht="15.75" customHeight="1">
      <c r="A39" s="40"/>
      <c r="B39" s="141"/>
      <c r="J39" s="47"/>
      <c r="K39" s="145"/>
      <c r="L39" s="143" t="b">
        <v>0</v>
      </c>
      <c r="M39" s="146"/>
      <c r="N39" s="142"/>
      <c r="O39" s="144"/>
      <c r="P39" s="40"/>
    </row>
    <row r="40" ht="15.75" customHeight="1">
      <c r="A40" s="40"/>
      <c r="B40" s="141"/>
      <c r="J40" s="47"/>
      <c r="K40" s="145"/>
      <c r="L40" s="143" t="b">
        <v>0</v>
      </c>
      <c r="M40" s="146"/>
      <c r="N40" s="142"/>
      <c r="O40" s="144"/>
      <c r="P40" s="40"/>
    </row>
    <row r="41" ht="15.75" customHeight="1">
      <c r="A41" s="40"/>
      <c r="B41" s="141"/>
      <c r="J41" s="47"/>
      <c r="K41" s="145"/>
      <c r="L41" s="143" t="b">
        <v>0</v>
      </c>
      <c r="M41" s="146"/>
      <c r="N41" s="142"/>
      <c r="O41" s="144"/>
      <c r="P41" s="40"/>
    </row>
    <row r="42" ht="15.75" customHeight="1">
      <c r="A42" s="40"/>
      <c r="B42" s="141"/>
      <c r="J42" s="47"/>
      <c r="K42" s="145"/>
      <c r="L42" s="143" t="b">
        <v>0</v>
      </c>
      <c r="M42" s="146"/>
      <c r="N42" s="142"/>
      <c r="O42" s="144"/>
      <c r="P42" s="40"/>
    </row>
    <row r="43" ht="15.75" customHeight="1">
      <c r="A43" s="40"/>
      <c r="B43" s="141"/>
      <c r="J43" s="47"/>
      <c r="K43" s="145"/>
      <c r="L43" s="143" t="b">
        <v>0</v>
      </c>
      <c r="M43" s="146"/>
      <c r="N43" s="142"/>
      <c r="O43" s="144"/>
      <c r="P43" s="40"/>
    </row>
    <row r="44" ht="15.75" customHeight="1">
      <c r="A44" s="40"/>
      <c r="B44" s="141"/>
      <c r="J44" s="47"/>
      <c r="K44" s="145"/>
      <c r="L44" s="143" t="b">
        <v>0</v>
      </c>
      <c r="M44" s="146"/>
      <c r="N44" s="142"/>
      <c r="O44" s="144"/>
      <c r="P44" s="40"/>
    </row>
    <row r="45" ht="15.75" customHeight="1">
      <c r="A45" s="40"/>
      <c r="B45" s="141"/>
      <c r="J45" s="47"/>
      <c r="K45" s="145"/>
      <c r="L45" s="143" t="b">
        <v>0</v>
      </c>
      <c r="M45" s="146"/>
      <c r="N45" s="142"/>
      <c r="O45" s="144"/>
      <c r="P45" s="40"/>
    </row>
    <row r="46" ht="15.75" customHeight="1">
      <c r="A46" s="40"/>
      <c r="B46" s="141"/>
      <c r="J46" s="47"/>
      <c r="K46" s="145"/>
      <c r="L46" s="143" t="b">
        <v>0</v>
      </c>
      <c r="M46" s="146"/>
      <c r="N46" s="142"/>
      <c r="O46" s="144"/>
      <c r="P46" s="40"/>
    </row>
    <row r="47" ht="15.75" customHeight="1">
      <c r="A47" s="40"/>
      <c r="B47" s="89"/>
      <c r="C47" s="16"/>
      <c r="D47" s="16"/>
      <c r="E47" s="16"/>
      <c r="F47" s="16"/>
      <c r="G47" s="16"/>
      <c r="H47" s="16"/>
      <c r="I47" s="16"/>
      <c r="J47" s="90"/>
      <c r="K47" s="91"/>
      <c r="L47" s="92" t="b">
        <v>0</v>
      </c>
      <c r="M47" s="93"/>
      <c r="N47" s="94"/>
      <c r="O47" s="95"/>
      <c r="P47" s="40"/>
    </row>
    <row r="48" ht="15.75" customHeight="1">
      <c r="A48" s="40"/>
      <c r="B48" s="96"/>
      <c r="C48" s="1"/>
      <c r="D48" s="1"/>
      <c r="E48" s="1"/>
      <c r="F48" s="1"/>
      <c r="G48" s="1"/>
      <c r="H48" s="1"/>
      <c r="I48" s="1"/>
      <c r="J48" s="101" t="s">
        <v>77</v>
      </c>
      <c r="K48" s="102"/>
      <c r="L48" s="1"/>
      <c r="M48" s="1"/>
      <c r="N48" s="97"/>
      <c r="O48" s="97"/>
      <c r="P48" s="40"/>
    </row>
    <row r="49" ht="15.75" customHeight="1">
      <c r="A49" s="40"/>
      <c r="B49" s="1"/>
      <c r="C49" s="1"/>
      <c r="D49" s="1"/>
      <c r="E49" s="1"/>
      <c r="F49" s="1"/>
      <c r="G49" s="1"/>
      <c r="H49" s="1"/>
      <c r="I49" s="100"/>
      <c r="J49" s="108" t="s">
        <v>63</v>
      </c>
      <c r="K49" s="109"/>
      <c r="L49" s="110"/>
      <c r="M49" s="111" t="s">
        <v>64</v>
      </c>
      <c r="N49" s="109"/>
      <c r="O49" s="102"/>
      <c r="P49" s="40"/>
    </row>
    <row r="50" ht="15.75" customHeight="1">
      <c r="A50" s="40"/>
      <c r="B50" s="98" t="s">
        <v>58</v>
      </c>
      <c r="C50" s="99"/>
      <c r="D50" s="99"/>
      <c r="E50" s="99"/>
      <c r="F50" s="99"/>
      <c r="G50" s="99"/>
      <c r="H50" s="99"/>
      <c r="I50" s="100"/>
      <c r="J50" s="117" t="str">
        <f t="array" ref="J50">GPA({K30:K47,M30:M47,O30:O47},1,2)</f>
        <v>Loading...</v>
      </c>
      <c r="K50" s="118"/>
      <c r="L50" s="110"/>
      <c r="M50" s="119" t="str">
        <f t="array" ref="M50">CREDITSSUM({K30:K47,M30:M47},1,2)</f>
        <v>Loading...</v>
      </c>
      <c r="N50" s="118"/>
      <c r="O50" s="120"/>
      <c r="P50" s="40"/>
    </row>
    <row r="51" ht="15.75" customHeight="1">
      <c r="A51" s="40"/>
      <c r="B51" s="103" t="s">
        <v>60</v>
      </c>
      <c r="C51" s="104" t="s">
        <v>61</v>
      </c>
      <c r="D51" s="105"/>
      <c r="E51" s="106"/>
      <c r="F51" s="104" t="s">
        <v>62</v>
      </c>
      <c r="G51" s="105"/>
      <c r="H51" s="107"/>
      <c r="I51" s="110"/>
      <c r="J51" s="1"/>
      <c r="K51" s="1"/>
      <c r="L51" s="1"/>
      <c r="M51" s="1"/>
      <c r="N51" s="1"/>
      <c r="O51" s="1"/>
      <c r="P51" s="40"/>
    </row>
    <row r="52" ht="15.75" customHeight="1">
      <c r="A52" s="40"/>
      <c r="B52" s="112"/>
      <c r="C52" s="113" t="s">
        <v>65</v>
      </c>
      <c r="D52" s="114" t="s">
        <v>66</v>
      </c>
      <c r="E52" s="115" t="s">
        <v>67</v>
      </c>
      <c r="F52" s="113" t="s">
        <v>65</v>
      </c>
      <c r="G52" s="114" t="s">
        <v>66</v>
      </c>
      <c r="H52" s="116" t="s">
        <v>67</v>
      </c>
      <c r="I52" s="110"/>
      <c r="J52" s="1"/>
      <c r="K52" s="1"/>
      <c r="L52" s="1"/>
      <c r="M52" s="1"/>
      <c r="N52" s="1"/>
      <c r="O52" s="1"/>
      <c r="P52" s="40"/>
    </row>
    <row r="53" ht="15.75" customHeight="1">
      <c r="A53" s="40"/>
      <c r="B53" s="132" t="s">
        <v>68</v>
      </c>
      <c r="C53" s="122"/>
      <c r="D53" s="84"/>
      <c r="E53" s="123"/>
      <c r="F53" s="86"/>
      <c r="G53" s="84"/>
      <c r="H53" s="124"/>
      <c r="I53" s="110"/>
      <c r="J53" s="101" t="s">
        <v>59</v>
      </c>
      <c r="K53" s="102"/>
      <c r="L53" s="1"/>
      <c r="M53" s="1"/>
      <c r="N53" s="97"/>
      <c r="O53" s="97"/>
      <c r="P53" s="40"/>
    </row>
    <row r="54" ht="15.75" customHeight="1">
      <c r="A54" s="40"/>
      <c r="B54" s="132" t="s">
        <v>69</v>
      </c>
      <c r="C54" s="122"/>
      <c r="D54" s="84"/>
      <c r="E54" s="123"/>
      <c r="F54" s="86"/>
      <c r="G54" s="84"/>
      <c r="H54" s="124"/>
      <c r="I54" s="110"/>
      <c r="J54" s="108" t="s">
        <v>63</v>
      </c>
      <c r="K54" s="109"/>
      <c r="L54" s="110"/>
      <c r="M54" s="111" t="s">
        <v>64</v>
      </c>
      <c r="N54" s="109"/>
      <c r="O54" s="102"/>
      <c r="P54" s="40"/>
    </row>
    <row r="55" ht="15.75" customHeight="1">
      <c r="A55" s="40"/>
      <c r="B55" s="121" t="s">
        <v>70</v>
      </c>
      <c r="C55" s="122"/>
      <c r="D55" s="84"/>
      <c r="E55" s="123"/>
      <c r="F55" s="86"/>
      <c r="G55" s="84"/>
      <c r="H55" s="124"/>
      <c r="I55" s="110"/>
      <c r="J55" s="117" t="str">
        <f t="array" ref="J55">GPA({K8:K25,M8:M25,O8:O25;K30:K47,M30:M47,O30:O47},1,2)</f>
        <v>Loading...</v>
      </c>
      <c r="K55" s="118"/>
      <c r="L55" s="110"/>
      <c r="M55" s="119" t="str">
        <f t="array" ref="M55">CREDITSSUM({K8:K25,M8:M25;K30:K47,M30:M47},1,2)</f>
        <v>Loading...</v>
      </c>
      <c r="N55" s="118"/>
      <c r="O55" s="120"/>
      <c r="P55" s="40"/>
    </row>
    <row r="56" ht="15.75" customHeight="1">
      <c r="A56" s="40"/>
      <c r="B56" s="125" t="s">
        <v>71</v>
      </c>
      <c r="C56" s="126"/>
      <c r="D56" s="127"/>
      <c r="E56" s="128"/>
      <c r="F56" s="129"/>
      <c r="G56" s="127"/>
      <c r="H56" s="130"/>
      <c r="I56" s="97"/>
      <c r="J56" s="97"/>
      <c r="K56" s="97"/>
      <c r="L56" s="131"/>
      <c r="M56" s="97"/>
      <c r="N56" s="97"/>
      <c r="O56" s="97"/>
      <c r="P56" s="40"/>
    </row>
    <row r="57" ht="15.75" customHeight="1">
      <c r="A57" s="40"/>
      <c r="B57" s="96"/>
      <c r="C57" s="97"/>
      <c r="D57" s="97"/>
      <c r="E57" s="97"/>
      <c r="F57" s="97"/>
      <c r="G57" s="97"/>
      <c r="H57" s="97"/>
      <c r="I57" s="97"/>
      <c r="J57" s="97"/>
      <c r="K57" s="97"/>
      <c r="L57" s="131"/>
      <c r="M57" s="97"/>
      <c r="N57" s="97"/>
      <c r="O57" s="97"/>
      <c r="P57" s="40"/>
    </row>
    <row r="58" ht="15.75" customHeight="1">
      <c r="A58" s="40"/>
      <c r="B58" s="96"/>
      <c r="C58" s="97"/>
      <c r="D58" s="97"/>
      <c r="E58" s="97"/>
      <c r="F58" s="97"/>
      <c r="G58" s="97"/>
      <c r="H58" s="97"/>
      <c r="I58" s="97"/>
      <c r="J58" s="97"/>
      <c r="K58" s="97"/>
      <c r="L58" s="131"/>
      <c r="M58" s="97"/>
      <c r="N58" s="97"/>
      <c r="O58" s="97"/>
      <c r="P58" s="40"/>
    </row>
  </sheetData>
  <mergeCells count="74">
    <mergeCell ref="B36:J36"/>
    <mergeCell ref="B37:J37"/>
    <mergeCell ref="B38:J38"/>
    <mergeCell ref="B39:J39"/>
    <mergeCell ref="B40:J40"/>
    <mergeCell ref="B41:J41"/>
    <mergeCell ref="B42:J42"/>
    <mergeCell ref="J49:K49"/>
    <mergeCell ref="J50:K50"/>
    <mergeCell ref="M50:O50"/>
    <mergeCell ref="B51:B52"/>
    <mergeCell ref="C51:E51"/>
    <mergeCell ref="F51:H51"/>
    <mergeCell ref="J53:K53"/>
    <mergeCell ref="J54:K54"/>
    <mergeCell ref="M54:O54"/>
    <mergeCell ref="J55:K55"/>
    <mergeCell ref="M55:O55"/>
    <mergeCell ref="B43:J43"/>
    <mergeCell ref="B44:J44"/>
    <mergeCell ref="B45:J45"/>
    <mergeCell ref="B46:J46"/>
    <mergeCell ref="B47:J47"/>
    <mergeCell ref="J48:K48"/>
    <mergeCell ref="M49:O49"/>
    <mergeCell ref="C1:H1"/>
    <mergeCell ref="I1:O1"/>
    <mergeCell ref="C2:E2"/>
    <mergeCell ref="F2:H2"/>
    <mergeCell ref="I2:J2"/>
    <mergeCell ref="K2:O2"/>
    <mergeCell ref="C3:E3"/>
    <mergeCell ref="K3:O3"/>
    <mergeCell ref="F3:H3"/>
    <mergeCell ref="I3:J3"/>
    <mergeCell ref="C4:E4"/>
    <mergeCell ref="F4:H4"/>
    <mergeCell ref="I4:J4"/>
    <mergeCell ref="K4:O4"/>
    <mergeCell ref="C5:E6"/>
    <mergeCell ref="K5:O6"/>
    <mergeCell ref="F5:H6"/>
    <mergeCell ref="I5:J6"/>
    <mergeCell ref="B7:J7"/>
    <mergeCell ref="B8:J8"/>
    <mergeCell ref="B9:J9"/>
    <mergeCell ref="B10:J10"/>
    <mergeCell ref="B11:J11"/>
    <mergeCell ref="B12:J12"/>
    <mergeCell ref="B13:J13"/>
    <mergeCell ref="B14:J14"/>
    <mergeCell ref="B15:J15"/>
    <mergeCell ref="B16:J16"/>
    <mergeCell ref="B17:J17"/>
    <mergeCell ref="B18:J18"/>
    <mergeCell ref="J26:K26"/>
    <mergeCell ref="J27:K27"/>
    <mergeCell ref="M27:O27"/>
    <mergeCell ref="J28:K28"/>
    <mergeCell ref="M28:O28"/>
    <mergeCell ref="B19:J19"/>
    <mergeCell ref="B20:J20"/>
    <mergeCell ref="B21:J21"/>
    <mergeCell ref="B22:J22"/>
    <mergeCell ref="B23:J23"/>
    <mergeCell ref="B24:J24"/>
    <mergeCell ref="B25:J25"/>
    <mergeCell ref="B29:J29"/>
    <mergeCell ref="B30:J30"/>
    <mergeCell ref="B31:J31"/>
    <mergeCell ref="B32:J32"/>
    <mergeCell ref="B33:J33"/>
    <mergeCell ref="B34:J34"/>
    <mergeCell ref="B35:J35"/>
  </mergeCells>
  <dataValidations>
    <dataValidation type="custom" allowBlank="1" showDropDown="1" showInputMessage="1" showErrorMessage="1" prompt="Enter a number" sqref="K8:K16 O8:O25 K30:K39 O30:O47">
      <formula1>ISNUMBER(K8)</formula1>
    </dataValidation>
    <dataValidation type="list" allowBlank="1" showInputMessage="1" showErrorMessage="1" prompt="Click and enter a valid scale from the list of items. The valid scales are Letter, 0-100, 0-4, and None" sqref="B3">
      <formula1>"Letter,0-4,0-100,None"</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8.88"/>
    <col customWidth="1" min="3" max="8" width="6.38"/>
    <col customWidth="1" hidden="1" min="9" max="9" width="18.88"/>
    <col customWidth="1" min="10" max="10" width="18.88"/>
    <col customWidth="1" min="11" max="11" width="6.38"/>
    <col customWidth="1" hidden="1" min="12" max="12" width="18.88"/>
    <col customWidth="1" min="13" max="13" width="6.38"/>
    <col customWidth="1" hidden="1" min="14" max="14" width="6.38"/>
    <col customWidth="1" min="15" max="15" width="6.38"/>
  </cols>
  <sheetData>
    <row r="1" ht="31.5" customHeight="1">
      <c r="A1" s="58"/>
      <c r="B1" s="1"/>
      <c r="C1" s="71" t="s">
        <v>5</v>
      </c>
      <c r="I1" s="58" t="s">
        <v>6</v>
      </c>
      <c r="P1" s="72"/>
    </row>
    <row r="2" ht="15.75" customHeight="1">
      <c r="A2" s="73"/>
      <c r="B2" s="74" t="s">
        <v>50</v>
      </c>
      <c r="C2" s="59" t="s">
        <v>8</v>
      </c>
      <c r="F2" s="60" t="str">
        <f>'Getting Started'!$G$10</f>
        <v/>
      </c>
      <c r="I2" s="59" t="s">
        <v>9</v>
      </c>
      <c r="K2" s="60" t="str">
        <f>'Getting Started'!$I$10</f>
        <v/>
      </c>
      <c r="P2" s="40"/>
    </row>
    <row r="3" ht="15.75" customHeight="1">
      <c r="A3" s="73"/>
      <c r="B3" s="75" t="s">
        <v>51</v>
      </c>
      <c r="C3" s="59" t="s">
        <v>11</v>
      </c>
      <c r="F3" s="61" t="str">
        <f>'Getting Started'!$G$11</f>
        <v/>
      </c>
      <c r="I3" s="59" t="s">
        <v>12</v>
      </c>
      <c r="K3" s="60" t="str">
        <f>'Getting Started'!$I$11</f>
        <v/>
      </c>
      <c r="P3" s="40"/>
    </row>
    <row r="4" ht="31.5" customHeight="1">
      <c r="A4" s="73"/>
      <c r="B4" s="1"/>
      <c r="C4" s="59" t="s">
        <v>13</v>
      </c>
      <c r="F4" s="60" t="str">
        <f>'Getting Started'!$G$12</f>
        <v/>
      </c>
      <c r="I4" s="59" t="s">
        <v>14</v>
      </c>
      <c r="K4" s="60" t="str">
        <f>'Getting Started'!$I$12</f>
        <v/>
      </c>
      <c r="P4" s="40"/>
    </row>
    <row r="5" ht="15.75" customHeight="1">
      <c r="A5" s="73"/>
      <c r="B5" s="1"/>
      <c r="C5" s="59" t="s">
        <v>15</v>
      </c>
      <c r="F5" s="62" t="str">
        <f>'Getting Started'!$G$14</f>
        <v/>
      </c>
      <c r="I5" s="59" t="s">
        <v>16</v>
      </c>
      <c r="K5" s="60" t="str">
        <f>'Getting Started'!$I$14</f>
        <v/>
      </c>
      <c r="P5" s="40"/>
    </row>
    <row r="6" ht="15.75" customHeight="1">
      <c r="A6" s="73"/>
      <c r="B6" s="19" t="s">
        <v>74</v>
      </c>
      <c r="P6" s="40"/>
    </row>
    <row r="7" ht="31.5" customHeight="1">
      <c r="A7" s="40"/>
      <c r="B7" s="76" t="s">
        <v>53</v>
      </c>
      <c r="C7" s="8"/>
      <c r="D7" s="8"/>
      <c r="E7" s="8"/>
      <c r="F7" s="8"/>
      <c r="G7" s="8"/>
      <c r="H7" s="8"/>
      <c r="I7" s="8"/>
      <c r="J7" s="77"/>
      <c r="K7" s="78" t="s">
        <v>54</v>
      </c>
      <c r="L7" s="79" t="s">
        <v>55</v>
      </c>
      <c r="M7" s="80" t="s">
        <v>56</v>
      </c>
      <c r="N7" s="81"/>
      <c r="O7" s="82" t="s">
        <v>57</v>
      </c>
      <c r="P7" s="1"/>
    </row>
    <row r="8" ht="15.75" customHeight="1">
      <c r="A8" s="40"/>
      <c r="B8" s="83"/>
      <c r="J8" s="47"/>
      <c r="K8" s="84"/>
      <c r="L8" s="85"/>
      <c r="M8" s="86"/>
      <c r="N8" s="87"/>
      <c r="O8" s="88"/>
      <c r="P8" s="1"/>
    </row>
    <row r="9" ht="15.75" customHeight="1">
      <c r="A9" s="40"/>
      <c r="B9" s="141"/>
      <c r="J9" s="47"/>
      <c r="K9" s="84"/>
      <c r="L9" s="85" t="b">
        <v>0</v>
      </c>
      <c r="M9" s="86"/>
      <c r="N9" s="142"/>
      <c r="O9" s="88"/>
      <c r="P9" s="40"/>
    </row>
    <row r="10" ht="15.75" customHeight="1">
      <c r="A10" s="40"/>
      <c r="B10" s="141"/>
      <c r="J10" s="47"/>
      <c r="K10" s="84"/>
      <c r="L10" s="143" t="b">
        <v>0</v>
      </c>
      <c r="M10" s="86"/>
      <c r="N10" s="142"/>
      <c r="O10" s="144"/>
      <c r="P10" s="40"/>
    </row>
    <row r="11" ht="15.75" customHeight="1">
      <c r="A11" s="40"/>
      <c r="B11" s="141"/>
      <c r="J11" s="47"/>
      <c r="K11" s="145"/>
      <c r="L11" s="143" t="b">
        <v>0</v>
      </c>
      <c r="M11" s="146"/>
      <c r="N11" s="142"/>
      <c r="O11" s="144"/>
      <c r="P11" s="40"/>
    </row>
    <row r="12" ht="15.75" customHeight="1">
      <c r="A12" s="40"/>
      <c r="B12" s="141"/>
      <c r="J12" s="47"/>
      <c r="K12" s="145"/>
      <c r="L12" s="85" t="b">
        <v>0</v>
      </c>
      <c r="M12" s="146"/>
      <c r="N12" s="142"/>
      <c r="O12" s="144"/>
      <c r="P12" s="40"/>
    </row>
    <row r="13" ht="15.75" customHeight="1">
      <c r="A13" s="40"/>
      <c r="B13" s="141"/>
      <c r="J13" s="47"/>
      <c r="K13" s="145"/>
      <c r="L13" s="85" t="b">
        <v>0</v>
      </c>
      <c r="M13" s="146"/>
      <c r="N13" s="142"/>
      <c r="O13" s="144"/>
      <c r="P13" s="40"/>
    </row>
    <row r="14" ht="15.75" customHeight="1">
      <c r="A14" s="40"/>
      <c r="B14" s="141"/>
      <c r="J14" s="47"/>
      <c r="K14" s="145"/>
      <c r="L14" s="85" t="b">
        <v>0</v>
      </c>
      <c r="M14" s="146"/>
      <c r="N14" s="142"/>
      <c r="O14" s="144"/>
      <c r="P14" s="40"/>
    </row>
    <row r="15" ht="15.75" customHeight="1">
      <c r="A15" s="40"/>
      <c r="B15" s="141"/>
      <c r="J15" s="47"/>
      <c r="K15" s="145"/>
      <c r="L15" s="143" t="b">
        <v>0</v>
      </c>
      <c r="M15" s="146"/>
      <c r="N15" s="142"/>
      <c r="O15" s="144"/>
      <c r="P15" s="40"/>
    </row>
    <row r="16" ht="15.75" customHeight="1">
      <c r="A16" s="40"/>
      <c r="B16" s="141"/>
      <c r="J16" s="47"/>
      <c r="K16" s="145"/>
      <c r="L16" s="143" t="b">
        <v>0</v>
      </c>
      <c r="M16" s="146"/>
      <c r="N16" s="142"/>
      <c r="O16" s="144"/>
      <c r="P16" s="40"/>
    </row>
    <row r="17" ht="15.75" customHeight="1">
      <c r="A17" s="40"/>
      <c r="B17" s="141"/>
      <c r="J17" s="47"/>
      <c r="K17" s="145"/>
      <c r="L17" s="143" t="b">
        <v>0</v>
      </c>
      <c r="M17" s="146"/>
      <c r="N17" s="142"/>
      <c r="O17" s="144"/>
      <c r="P17" s="40"/>
    </row>
    <row r="18" ht="15.75" customHeight="1">
      <c r="A18" s="40"/>
      <c r="B18" s="141"/>
      <c r="J18" s="47"/>
      <c r="K18" s="145"/>
      <c r="L18" s="143" t="b">
        <v>0</v>
      </c>
      <c r="M18" s="146"/>
      <c r="N18" s="142"/>
      <c r="O18" s="144"/>
      <c r="P18" s="40"/>
    </row>
    <row r="19" ht="15.75" customHeight="1">
      <c r="A19" s="40"/>
      <c r="B19" s="141"/>
      <c r="J19" s="47"/>
      <c r="K19" s="145"/>
      <c r="L19" s="143" t="b">
        <v>0</v>
      </c>
      <c r="M19" s="146"/>
      <c r="N19" s="142"/>
      <c r="O19" s="144"/>
      <c r="P19" s="40"/>
    </row>
    <row r="20" ht="15.75" customHeight="1">
      <c r="A20" s="40"/>
      <c r="B20" s="141"/>
      <c r="J20" s="47"/>
      <c r="K20" s="145"/>
      <c r="L20" s="143" t="b">
        <v>0</v>
      </c>
      <c r="M20" s="146"/>
      <c r="N20" s="142"/>
      <c r="O20" s="144"/>
      <c r="P20" s="40"/>
    </row>
    <row r="21" ht="15.75" customHeight="1">
      <c r="A21" s="40"/>
      <c r="B21" s="141"/>
      <c r="J21" s="47"/>
      <c r="K21" s="145"/>
      <c r="L21" s="143" t="b">
        <v>0</v>
      </c>
      <c r="M21" s="146"/>
      <c r="N21" s="142"/>
      <c r="O21" s="144"/>
      <c r="P21" s="40"/>
    </row>
    <row r="22" ht="15.75" customHeight="1">
      <c r="A22" s="40"/>
      <c r="B22" s="141"/>
      <c r="J22" s="47"/>
      <c r="K22" s="145"/>
      <c r="L22" s="143" t="b">
        <v>0</v>
      </c>
      <c r="M22" s="146"/>
      <c r="N22" s="142"/>
      <c r="O22" s="144"/>
      <c r="P22" s="40"/>
    </row>
    <row r="23" ht="15.75" customHeight="1">
      <c r="A23" s="40"/>
      <c r="B23" s="141"/>
      <c r="J23" s="47"/>
      <c r="K23" s="145"/>
      <c r="L23" s="143" t="b">
        <v>0</v>
      </c>
      <c r="M23" s="146"/>
      <c r="N23" s="142"/>
      <c r="O23" s="144"/>
      <c r="P23" s="40"/>
    </row>
    <row r="24" ht="15.75" customHeight="1">
      <c r="A24" s="40"/>
      <c r="B24" s="141"/>
      <c r="J24" s="47"/>
      <c r="K24" s="145"/>
      <c r="L24" s="143" t="b">
        <v>0</v>
      </c>
      <c r="M24" s="146"/>
      <c r="N24" s="142"/>
      <c r="O24" s="144"/>
      <c r="P24" s="40"/>
    </row>
    <row r="25" ht="15.75" customHeight="1">
      <c r="A25" s="40"/>
      <c r="B25" s="89"/>
      <c r="C25" s="16"/>
      <c r="D25" s="16"/>
      <c r="E25" s="16"/>
      <c r="F25" s="16"/>
      <c r="G25" s="16"/>
      <c r="H25" s="16"/>
      <c r="I25" s="16"/>
      <c r="J25" s="90"/>
      <c r="K25" s="91"/>
      <c r="L25" s="92" t="b">
        <v>0</v>
      </c>
      <c r="M25" s="93"/>
      <c r="N25" s="94"/>
      <c r="O25" s="95"/>
      <c r="P25" s="40"/>
    </row>
    <row r="26" ht="15.75" customHeight="1">
      <c r="A26" s="40"/>
      <c r="B26" s="96"/>
      <c r="C26" s="1"/>
      <c r="D26" s="1"/>
      <c r="E26" s="1"/>
      <c r="F26" s="1"/>
      <c r="G26" s="1"/>
      <c r="H26" s="1"/>
      <c r="I26" s="1"/>
      <c r="J26" s="101" t="s">
        <v>75</v>
      </c>
      <c r="K26" s="102"/>
      <c r="L26" s="1"/>
      <c r="M26" s="1"/>
      <c r="N26" s="97"/>
      <c r="O26" s="97"/>
      <c r="P26" s="40"/>
    </row>
    <row r="27" ht="15.75" customHeight="1">
      <c r="A27" s="40"/>
      <c r="B27" s="96"/>
      <c r="C27" s="100"/>
      <c r="D27" s="100"/>
      <c r="E27" s="100"/>
      <c r="F27" s="100"/>
      <c r="G27" s="100"/>
      <c r="H27" s="100"/>
      <c r="I27" s="100"/>
      <c r="J27" s="108" t="s">
        <v>63</v>
      </c>
      <c r="K27" s="109"/>
      <c r="L27" s="110"/>
      <c r="M27" s="111" t="s">
        <v>64</v>
      </c>
      <c r="N27" s="109"/>
      <c r="O27" s="102"/>
      <c r="P27" s="40"/>
    </row>
    <row r="28" ht="15.75" customHeight="1">
      <c r="A28" s="40"/>
      <c r="B28" s="19" t="s">
        <v>76</v>
      </c>
      <c r="C28" s="100"/>
      <c r="D28" s="100"/>
      <c r="E28" s="100"/>
      <c r="F28" s="100"/>
      <c r="G28" s="100"/>
      <c r="H28" s="100"/>
      <c r="I28" s="100"/>
      <c r="J28" s="117" t="str">
        <f t="array" ref="J28">GPA({K8:K25,M8:M25,O8:O25},1,2)</f>
        <v>Loading...</v>
      </c>
      <c r="K28" s="118"/>
      <c r="L28" s="110"/>
      <c r="M28" s="119" t="str">
        <f t="array" ref="M28">CREDITSSUM({K8:K25,M8:M25},1,2)</f>
        <v>Loading...</v>
      </c>
      <c r="N28" s="118"/>
      <c r="O28" s="120"/>
      <c r="P28" s="40"/>
    </row>
    <row r="29" ht="31.5" customHeight="1">
      <c r="A29" s="40"/>
      <c r="B29" s="76" t="s">
        <v>53</v>
      </c>
      <c r="C29" s="8"/>
      <c r="D29" s="8"/>
      <c r="E29" s="8"/>
      <c r="F29" s="8"/>
      <c r="G29" s="8"/>
      <c r="H29" s="8"/>
      <c r="I29" s="8"/>
      <c r="J29" s="77"/>
      <c r="K29" s="78" t="s">
        <v>54</v>
      </c>
      <c r="L29" s="79" t="s">
        <v>55</v>
      </c>
      <c r="M29" s="80" t="s">
        <v>56</v>
      </c>
      <c r="N29" s="81"/>
      <c r="O29" s="82" t="s">
        <v>57</v>
      </c>
      <c r="P29" s="1"/>
    </row>
    <row r="30" ht="15.75" customHeight="1">
      <c r="A30" s="40"/>
      <c r="B30" s="83"/>
      <c r="J30" s="47"/>
      <c r="K30" s="84"/>
      <c r="L30" s="85"/>
      <c r="M30" s="86"/>
      <c r="N30" s="87"/>
      <c r="O30" s="88"/>
      <c r="P30" s="1"/>
    </row>
    <row r="31" ht="15.75" customHeight="1">
      <c r="A31" s="40"/>
      <c r="B31" s="141"/>
      <c r="J31" s="47"/>
      <c r="K31" s="84"/>
      <c r="L31" s="85" t="b">
        <v>0</v>
      </c>
      <c r="M31" s="86"/>
      <c r="N31" s="142"/>
      <c r="O31" s="88"/>
      <c r="P31" s="40"/>
    </row>
    <row r="32" ht="15.75" customHeight="1">
      <c r="A32" s="40"/>
      <c r="B32" s="141"/>
      <c r="J32" s="47"/>
      <c r="K32" s="84"/>
      <c r="L32" s="143" t="b">
        <v>0</v>
      </c>
      <c r="M32" s="86"/>
      <c r="N32" s="142"/>
      <c r="O32" s="144"/>
      <c r="P32" s="40"/>
    </row>
    <row r="33" ht="15.75" customHeight="1">
      <c r="A33" s="40"/>
      <c r="B33" s="141"/>
      <c r="J33" s="47"/>
      <c r="K33" s="145"/>
      <c r="L33" s="143" t="b">
        <v>0</v>
      </c>
      <c r="M33" s="146"/>
      <c r="N33" s="142"/>
      <c r="O33" s="144"/>
      <c r="P33" s="40"/>
    </row>
    <row r="34" ht="15.75" customHeight="1">
      <c r="A34" s="40"/>
      <c r="B34" s="141"/>
      <c r="J34" s="47"/>
      <c r="K34" s="145"/>
      <c r="L34" s="85" t="b">
        <v>0</v>
      </c>
      <c r="M34" s="146"/>
      <c r="N34" s="142"/>
      <c r="O34" s="144"/>
      <c r="P34" s="40"/>
    </row>
    <row r="35" ht="15.75" customHeight="1">
      <c r="A35" s="40"/>
      <c r="B35" s="141"/>
      <c r="J35" s="47"/>
      <c r="K35" s="145"/>
      <c r="L35" s="85" t="b">
        <v>0</v>
      </c>
      <c r="M35" s="146"/>
      <c r="N35" s="142"/>
      <c r="O35" s="144"/>
      <c r="P35" s="40"/>
    </row>
    <row r="36" ht="15.75" customHeight="1">
      <c r="A36" s="40"/>
      <c r="B36" s="141"/>
      <c r="J36" s="47"/>
      <c r="K36" s="145"/>
      <c r="L36" s="85" t="b">
        <v>0</v>
      </c>
      <c r="M36" s="146"/>
      <c r="N36" s="142"/>
      <c r="O36" s="144"/>
      <c r="P36" s="40"/>
    </row>
    <row r="37" ht="15.75" customHeight="1">
      <c r="A37" s="40"/>
      <c r="B37" s="141"/>
      <c r="J37" s="47"/>
      <c r="K37" s="146"/>
      <c r="L37" s="85" t="b">
        <v>0</v>
      </c>
      <c r="M37" s="146"/>
      <c r="N37" s="142"/>
      <c r="O37" s="144"/>
      <c r="P37" s="40"/>
    </row>
    <row r="38" ht="15.75" customHeight="1">
      <c r="A38" s="40"/>
      <c r="B38" s="141"/>
      <c r="J38" s="47"/>
      <c r="K38" s="145"/>
      <c r="L38" s="143" t="b">
        <v>0</v>
      </c>
      <c r="M38" s="146"/>
      <c r="N38" s="142"/>
      <c r="O38" s="144"/>
      <c r="P38" s="40"/>
    </row>
    <row r="39" ht="15.75" customHeight="1">
      <c r="A39" s="40"/>
      <c r="B39" s="141"/>
      <c r="J39" s="47"/>
      <c r="K39" s="145"/>
      <c r="L39" s="143" t="b">
        <v>0</v>
      </c>
      <c r="M39" s="146"/>
      <c r="N39" s="142"/>
      <c r="O39" s="144"/>
      <c r="P39" s="40"/>
    </row>
    <row r="40" ht="15.75" customHeight="1">
      <c r="A40" s="40"/>
      <c r="B40" s="141"/>
      <c r="J40" s="47"/>
      <c r="K40" s="145"/>
      <c r="L40" s="143" t="b">
        <v>0</v>
      </c>
      <c r="M40" s="146"/>
      <c r="N40" s="142"/>
      <c r="O40" s="144"/>
      <c r="P40" s="40"/>
    </row>
    <row r="41" ht="15.75" customHeight="1">
      <c r="A41" s="40"/>
      <c r="B41" s="141"/>
      <c r="J41" s="47"/>
      <c r="K41" s="145"/>
      <c r="L41" s="143" t="b">
        <v>0</v>
      </c>
      <c r="M41" s="146"/>
      <c r="N41" s="142"/>
      <c r="O41" s="144"/>
      <c r="P41" s="40"/>
    </row>
    <row r="42" ht="15.75" customHeight="1">
      <c r="A42" s="40"/>
      <c r="B42" s="141"/>
      <c r="J42" s="47"/>
      <c r="K42" s="145"/>
      <c r="L42" s="143" t="b">
        <v>0</v>
      </c>
      <c r="M42" s="146"/>
      <c r="N42" s="142"/>
      <c r="O42" s="144"/>
      <c r="P42" s="40"/>
    </row>
    <row r="43" ht="15.75" customHeight="1">
      <c r="A43" s="40"/>
      <c r="B43" s="141"/>
      <c r="J43" s="47"/>
      <c r="K43" s="145"/>
      <c r="L43" s="143" t="b">
        <v>0</v>
      </c>
      <c r="M43" s="146"/>
      <c r="N43" s="142"/>
      <c r="O43" s="144"/>
      <c r="P43" s="40"/>
    </row>
    <row r="44" ht="15.75" customHeight="1">
      <c r="A44" s="40"/>
      <c r="B44" s="141"/>
      <c r="J44" s="47"/>
      <c r="K44" s="145"/>
      <c r="L44" s="143" t="b">
        <v>0</v>
      </c>
      <c r="M44" s="146"/>
      <c r="N44" s="142"/>
      <c r="O44" s="144"/>
      <c r="P44" s="40"/>
    </row>
    <row r="45" ht="15.75" customHeight="1">
      <c r="A45" s="40"/>
      <c r="B45" s="141"/>
      <c r="J45" s="47"/>
      <c r="K45" s="145"/>
      <c r="L45" s="143" t="b">
        <v>0</v>
      </c>
      <c r="M45" s="146"/>
      <c r="N45" s="142"/>
      <c r="O45" s="144"/>
      <c r="P45" s="40"/>
    </row>
    <row r="46" ht="15.75" customHeight="1">
      <c r="A46" s="40"/>
      <c r="B46" s="141"/>
      <c r="J46" s="47"/>
      <c r="K46" s="145"/>
      <c r="L46" s="143" t="b">
        <v>0</v>
      </c>
      <c r="M46" s="146"/>
      <c r="N46" s="142"/>
      <c r="O46" s="144"/>
      <c r="P46" s="40"/>
    </row>
    <row r="47" ht="15.75" customHeight="1">
      <c r="A47" s="40"/>
      <c r="B47" s="89"/>
      <c r="C47" s="16"/>
      <c r="D47" s="16"/>
      <c r="E47" s="16"/>
      <c r="F47" s="16"/>
      <c r="G47" s="16"/>
      <c r="H47" s="16"/>
      <c r="I47" s="16"/>
      <c r="J47" s="90"/>
      <c r="K47" s="91"/>
      <c r="L47" s="92" t="b">
        <v>0</v>
      </c>
      <c r="M47" s="93"/>
      <c r="N47" s="94"/>
      <c r="O47" s="95"/>
      <c r="P47" s="40"/>
    </row>
    <row r="48" ht="15.75" customHeight="1">
      <c r="A48" s="40"/>
      <c r="B48" s="96"/>
      <c r="C48" s="1"/>
      <c r="D48" s="1"/>
      <c r="E48" s="1"/>
      <c r="F48" s="1"/>
      <c r="G48" s="1"/>
      <c r="H48" s="1"/>
      <c r="I48" s="1"/>
      <c r="J48" s="101" t="s">
        <v>77</v>
      </c>
      <c r="K48" s="102"/>
      <c r="L48" s="1"/>
      <c r="M48" s="1"/>
      <c r="N48" s="97"/>
      <c r="O48" s="97"/>
      <c r="P48" s="40"/>
    </row>
    <row r="49" ht="15.75" customHeight="1">
      <c r="A49" s="40"/>
      <c r="B49" s="1"/>
      <c r="C49" s="1"/>
      <c r="D49" s="1"/>
      <c r="E49" s="1"/>
      <c r="F49" s="1"/>
      <c r="G49" s="1"/>
      <c r="H49" s="1"/>
      <c r="I49" s="100"/>
      <c r="J49" s="108" t="s">
        <v>63</v>
      </c>
      <c r="K49" s="109"/>
      <c r="L49" s="110"/>
      <c r="M49" s="111" t="s">
        <v>64</v>
      </c>
      <c r="N49" s="109"/>
      <c r="O49" s="102"/>
      <c r="P49" s="40"/>
    </row>
    <row r="50" ht="15.75" customHeight="1">
      <c r="A50" s="40"/>
      <c r="B50" s="98" t="s">
        <v>58</v>
      </c>
      <c r="C50" s="99"/>
      <c r="D50" s="99"/>
      <c r="E50" s="99"/>
      <c r="F50" s="99"/>
      <c r="G50" s="99"/>
      <c r="H50" s="99"/>
      <c r="I50" s="100"/>
      <c r="J50" s="117" t="str">
        <f t="array" ref="J50">GPA({K30:K47,M30:M47,O30:O47},1,2)</f>
        <v>Loading...</v>
      </c>
      <c r="K50" s="118"/>
      <c r="L50" s="110"/>
      <c r="M50" s="119" t="str">
        <f t="array" ref="M50">CREDITSSUM({K30:K47,M30:M47},1,2)</f>
        <v>Loading...</v>
      </c>
      <c r="N50" s="118"/>
      <c r="O50" s="120"/>
      <c r="P50" s="40"/>
    </row>
    <row r="51" ht="15.75" customHeight="1">
      <c r="A51" s="40"/>
      <c r="B51" s="103" t="s">
        <v>60</v>
      </c>
      <c r="C51" s="104" t="s">
        <v>61</v>
      </c>
      <c r="D51" s="105"/>
      <c r="E51" s="106"/>
      <c r="F51" s="104" t="s">
        <v>62</v>
      </c>
      <c r="G51" s="105"/>
      <c r="H51" s="107"/>
      <c r="I51" s="110"/>
      <c r="J51" s="1"/>
      <c r="K51" s="1"/>
      <c r="L51" s="1"/>
      <c r="M51" s="1"/>
      <c r="N51" s="1"/>
      <c r="O51" s="1"/>
      <c r="P51" s="40"/>
    </row>
    <row r="52" ht="15.75" customHeight="1">
      <c r="A52" s="40"/>
      <c r="B52" s="112"/>
      <c r="C52" s="113" t="s">
        <v>65</v>
      </c>
      <c r="D52" s="114" t="s">
        <v>66</v>
      </c>
      <c r="E52" s="115" t="s">
        <v>67</v>
      </c>
      <c r="F52" s="113" t="s">
        <v>65</v>
      </c>
      <c r="G52" s="114" t="s">
        <v>66</v>
      </c>
      <c r="H52" s="116" t="s">
        <v>67</v>
      </c>
      <c r="I52" s="110"/>
      <c r="J52" s="1"/>
      <c r="K52" s="1"/>
      <c r="L52" s="1"/>
      <c r="M52" s="1"/>
      <c r="N52" s="1"/>
      <c r="O52" s="1"/>
      <c r="P52" s="40"/>
    </row>
    <row r="53" ht="15.75" customHeight="1">
      <c r="A53" s="40"/>
      <c r="B53" s="132" t="s">
        <v>68</v>
      </c>
      <c r="C53" s="122"/>
      <c r="D53" s="84"/>
      <c r="E53" s="123"/>
      <c r="F53" s="86"/>
      <c r="G53" s="84"/>
      <c r="H53" s="124"/>
      <c r="I53" s="110"/>
      <c r="J53" s="101" t="s">
        <v>59</v>
      </c>
      <c r="K53" s="102"/>
      <c r="L53" s="1"/>
      <c r="M53" s="1"/>
      <c r="N53" s="97"/>
      <c r="O53" s="97"/>
      <c r="P53" s="40"/>
    </row>
    <row r="54" ht="15.75" customHeight="1">
      <c r="A54" s="40"/>
      <c r="B54" s="132" t="s">
        <v>69</v>
      </c>
      <c r="C54" s="122"/>
      <c r="D54" s="84"/>
      <c r="E54" s="123"/>
      <c r="F54" s="86"/>
      <c r="G54" s="84"/>
      <c r="H54" s="124"/>
      <c r="I54" s="110"/>
      <c r="J54" s="108" t="s">
        <v>63</v>
      </c>
      <c r="K54" s="109"/>
      <c r="L54" s="110"/>
      <c r="M54" s="111" t="s">
        <v>64</v>
      </c>
      <c r="N54" s="109"/>
      <c r="O54" s="102"/>
      <c r="P54" s="40"/>
    </row>
    <row r="55" ht="15.75" customHeight="1">
      <c r="A55" s="40"/>
      <c r="B55" s="121" t="s">
        <v>70</v>
      </c>
      <c r="C55" s="122"/>
      <c r="D55" s="84"/>
      <c r="E55" s="123"/>
      <c r="F55" s="86"/>
      <c r="G55" s="84"/>
      <c r="H55" s="124"/>
      <c r="I55" s="110"/>
      <c r="J55" s="117" t="str">
        <f t="array" ref="J55">GPA({K8:K25,M8:M25,O8:O25;K30:K47,M30:M47,O30:O47},1,2)</f>
        <v>Loading...</v>
      </c>
      <c r="K55" s="118"/>
      <c r="L55" s="110"/>
      <c r="M55" s="119" t="str">
        <f t="array" ref="M55">CREDITSSUM({K8:K25,M8:M25;K30:K47,M30:M47},1,2)</f>
        <v>Loading...</v>
      </c>
      <c r="N55" s="118"/>
      <c r="O55" s="120"/>
      <c r="P55" s="40"/>
    </row>
    <row r="56" ht="15.75" customHeight="1">
      <c r="A56" s="40"/>
      <c r="B56" s="125" t="s">
        <v>71</v>
      </c>
      <c r="C56" s="126"/>
      <c r="D56" s="127"/>
      <c r="E56" s="128"/>
      <c r="F56" s="129"/>
      <c r="G56" s="127"/>
      <c r="H56" s="130"/>
      <c r="I56" s="97"/>
      <c r="J56" s="97"/>
      <c r="K56" s="97"/>
      <c r="L56" s="131"/>
      <c r="M56" s="97"/>
      <c r="N56" s="97"/>
      <c r="O56" s="97"/>
      <c r="P56" s="40"/>
    </row>
    <row r="57" ht="15.75" customHeight="1">
      <c r="A57" s="40"/>
      <c r="B57" s="96"/>
      <c r="C57" s="97"/>
      <c r="D57" s="97"/>
      <c r="E57" s="97"/>
      <c r="F57" s="97"/>
      <c r="G57" s="97"/>
      <c r="H57" s="97"/>
      <c r="I57" s="97"/>
      <c r="J57" s="97"/>
      <c r="K57" s="97"/>
      <c r="L57" s="131"/>
      <c r="M57" s="97"/>
      <c r="N57" s="97"/>
      <c r="O57" s="97"/>
      <c r="P57" s="40"/>
    </row>
    <row r="58" ht="15.75" customHeight="1">
      <c r="A58" s="40"/>
      <c r="B58" s="96"/>
      <c r="C58" s="97"/>
      <c r="D58" s="97"/>
      <c r="E58" s="97"/>
      <c r="F58" s="97"/>
      <c r="G58" s="97"/>
      <c r="H58" s="97"/>
      <c r="I58" s="97"/>
      <c r="J58" s="97"/>
      <c r="K58" s="97"/>
      <c r="L58" s="131"/>
      <c r="M58" s="97"/>
      <c r="N58" s="97"/>
      <c r="O58" s="97"/>
      <c r="P58" s="40"/>
    </row>
  </sheetData>
  <mergeCells count="74">
    <mergeCell ref="B36:J36"/>
    <mergeCell ref="B37:J37"/>
    <mergeCell ref="B38:J38"/>
    <mergeCell ref="B39:J39"/>
    <mergeCell ref="B40:J40"/>
    <mergeCell ref="B41:J41"/>
    <mergeCell ref="B42:J42"/>
    <mergeCell ref="J49:K49"/>
    <mergeCell ref="J50:K50"/>
    <mergeCell ref="M50:O50"/>
    <mergeCell ref="B51:B52"/>
    <mergeCell ref="C51:E51"/>
    <mergeCell ref="F51:H51"/>
    <mergeCell ref="J53:K53"/>
    <mergeCell ref="J54:K54"/>
    <mergeCell ref="M54:O54"/>
    <mergeCell ref="J55:K55"/>
    <mergeCell ref="M55:O55"/>
    <mergeCell ref="B43:J43"/>
    <mergeCell ref="B44:J44"/>
    <mergeCell ref="B45:J45"/>
    <mergeCell ref="B46:J46"/>
    <mergeCell ref="B47:J47"/>
    <mergeCell ref="J48:K48"/>
    <mergeCell ref="M49:O49"/>
    <mergeCell ref="C1:H1"/>
    <mergeCell ref="I1:O1"/>
    <mergeCell ref="C2:E2"/>
    <mergeCell ref="F2:H2"/>
    <mergeCell ref="I2:J2"/>
    <mergeCell ref="K2:O2"/>
    <mergeCell ref="C3:E3"/>
    <mergeCell ref="K3:O3"/>
    <mergeCell ref="F3:H3"/>
    <mergeCell ref="I3:J3"/>
    <mergeCell ref="C4:E4"/>
    <mergeCell ref="F4:H4"/>
    <mergeCell ref="I4:J4"/>
    <mergeCell ref="K4:O4"/>
    <mergeCell ref="C5:E6"/>
    <mergeCell ref="K5:O6"/>
    <mergeCell ref="F5:H6"/>
    <mergeCell ref="I5:J6"/>
    <mergeCell ref="B7:J7"/>
    <mergeCell ref="B8:J8"/>
    <mergeCell ref="B9:J9"/>
    <mergeCell ref="B10:J10"/>
    <mergeCell ref="B11:J11"/>
    <mergeCell ref="B12:J12"/>
    <mergeCell ref="B13:J13"/>
    <mergeCell ref="B14:J14"/>
    <mergeCell ref="B15:J15"/>
    <mergeCell ref="B16:J16"/>
    <mergeCell ref="B17:J17"/>
    <mergeCell ref="B18:J18"/>
    <mergeCell ref="J26:K26"/>
    <mergeCell ref="J27:K27"/>
    <mergeCell ref="M27:O27"/>
    <mergeCell ref="J28:K28"/>
    <mergeCell ref="M28:O28"/>
    <mergeCell ref="B19:J19"/>
    <mergeCell ref="B20:J20"/>
    <mergeCell ref="B21:J21"/>
    <mergeCell ref="B22:J22"/>
    <mergeCell ref="B23:J23"/>
    <mergeCell ref="B24:J24"/>
    <mergeCell ref="B25:J25"/>
    <mergeCell ref="B29:J29"/>
    <mergeCell ref="B30:J30"/>
    <mergeCell ref="B31:J31"/>
    <mergeCell ref="B32:J32"/>
    <mergeCell ref="B33:J33"/>
    <mergeCell ref="B34:J34"/>
    <mergeCell ref="B35:J35"/>
  </mergeCells>
  <dataValidations>
    <dataValidation type="custom" allowBlank="1" showDropDown="1" showInputMessage="1" showErrorMessage="1" prompt="Enter a number" sqref="K8:K16 O8:O25 K30:K39 O30:O47">
      <formula1>ISNUMBER(K8)</formula1>
    </dataValidation>
    <dataValidation type="list" allowBlank="1" showInputMessage="1" showErrorMessage="1" prompt="Click and enter a valid scale from the list of items. The valid scales are Letter, 0-100, 0-4, and None" sqref="B3">
      <formula1>"Letter,0-4,0-100,None"</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8.88"/>
    <col customWidth="1" min="3" max="8" width="6.38"/>
    <col customWidth="1" hidden="1" min="9" max="9" width="18.88"/>
    <col customWidth="1" min="10" max="10" width="18.88"/>
    <col customWidth="1" min="11" max="11" width="6.38"/>
    <col customWidth="1" hidden="1" min="12" max="12" width="18.88"/>
    <col customWidth="1" min="13" max="13" width="6.38"/>
    <col customWidth="1" hidden="1" min="14" max="14" width="6.38"/>
    <col customWidth="1" min="15" max="15" width="6.38"/>
  </cols>
  <sheetData>
    <row r="1" ht="31.5" customHeight="1">
      <c r="A1" s="58"/>
      <c r="B1" s="1"/>
      <c r="C1" s="71" t="s">
        <v>5</v>
      </c>
      <c r="I1" s="58" t="s">
        <v>6</v>
      </c>
      <c r="P1" s="72"/>
    </row>
    <row r="2" ht="15.75" customHeight="1">
      <c r="A2" s="73"/>
      <c r="B2" s="74" t="s">
        <v>50</v>
      </c>
      <c r="C2" s="59" t="s">
        <v>8</v>
      </c>
      <c r="F2" s="60" t="str">
        <f>'Getting Started'!$G$10</f>
        <v/>
      </c>
      <c r="I2" s="59" t="s">
        <v>9</v>
      </c>
      <c r="K2" s="60" t="str">
        <f>'Getting Started'!$I$10</f>
        <v/>
      </c>
      <c r="P2" s="40"/>
    </row>
    <row r="3" ht="15.75" customHeight="1">
      <c r="A3" s="73"/>
      <c r="B3" s="75" t="s">
        <v>51</v>
      </c>
      <c r="C3" s="59" t="s">
        <v>11</v>
      </c>
      <c r="F3" s="61" t="str">
        <f>'Getting Started'!$G$11</f>
        <v/>
      </c>
      <c r="I3" s="59" t="s">
        <v>12</v>
      </c>
      <c r="K3" s="60" t="str">
        <f>'Getting Started'!$I$11</f>
        <v/>
      </c>
      <c r="P3" s="40"/>
    </row>
    <row r="4" ht="31.5" customHeight="1">
      <c r="A4" s="73"/>
      <c r="B4" s="1"/>
      <c r="C4" s="59" t="s">
        <v>13</v>
      </c>
      <c r="F4" s="60" t="str">
        <f>'Getting Started'!$G$12</f>
        <v/>
      </c>
      <c r="I4" s="59" t="s">
        <v>14</v>
      </c>
      <c r="K4" s="60" t="str">
        <f>'Getting Started'!$I$12</f>
        <v/>
      </c>
      <c r="P4" s="40"/>
    </row>
    <row r="5" ht="15.75" customHeight="1">
      <c r="A5" s="73"/>
      <c r="B5" s="1"/>
      <c r="C5" s="59" t="s">
        <v>15</v>
      </c>
      <c r="F5" s="62" t="str">
        <f>'Getting Started'!$G$14</f>
        <v/>
      </c>
      <c r="I5" s="59" t="s">
        <v>16</v>
      </c>
      <c r="K5" s="60" t="str">
        <f>'Getting Started'!$I$14</f>
        <v/>
      </c>
      <c r="P5" s="40"/>
    </row>
    <row r="6" ht="15.75" customHeight="1">
      <c r="A6" s="73"/>
      <c r="B6" s="19" t="s">
        <v>74</v>
      </c>
      <c r="P6" s="40"/>
    </row>
    <row r="7" ht="31.5" customHeight="1">
      <c r="A7" s="40"/>
      <c r="B7" s="76" t="s">
        <v>53</v>
      </c>
      <c r="C7" s="8"/>
      <c r="D7" s="8"/>
      <c r="E7" s="8"/>
      <c r="F7" s="8"/>
      <c r="G7" s="8"/>
      <c r="H7" s="8"/>
      <c r="I7" s="8"/>
      <c r="J7" s="77"/>
      <c r="K7" s="78" t="s">
        <v>54</v>
      </c>
      <c r="L7" s="79" t="s">
        <v>55</v>
      </c>
      <c r="M7" s="80" t="s">
        <v>56</v>
      </c>
      <c r="N7" s="81"/>
      <c r="O7" s="82" t="s">
        <v>57</v>
      </c>
      <c r="P7" s="1"/>
    </row>
    <row r="8" ht="15.75" customHeight="1">
      <c r="A8" s="40"/>
      <c r="B8" s="83"/>
      <c r="J8" s="47"/>
      <c r="K8" s="84"/>
      <c r="L8" s="85"/>
      <c r="M8" s="86"/>
      <c r="N8" s="87"/>
      <c r="O8" s="88"/>
      <c r="P8" s="1"/>
    </row>
    <row r="9" ht="15.75" customHeight="1">
      <c r="A9" s="40"/>
      <c r="B9" s="141"/>
      <c r="J9" s="47"/>
      <c r="K9" s="84"/>
      <c r="L9" s="85" t="b">
        <v>0</v>
      </c>
      <c r="M9" s="86"/>
      <c r="N9" s="142"/>
      <c r="O9" s="88"/>
      <c r="P9" s="40"/>
    </row>
    <row r="10" ht="15.75" customHeight="1">
      <c r="A10" s="40"/>
      <c r="B10" s="141"/>
      <c r="J10" s="47"/>
      <c r="K10" s="84"/>
      <c r="L10" s="143" t="b">
        <v>0</v>
      </c>
      <c r="M10" s="86"/>
      <c r="N10" s="142"/>
      <c r="O10" s="144"/>
      <c r="P10" s="40"/>
    </row>
    <row r="11" ht="15.75" customHeight="1">
      <c r="A11" s="40"/>
      <c r="B11" s="141"/>
      <c r="J11" s="47"/>
      <c r="K11" s="145"/>
      <c r="L11" s="143" t="b">
        <v>0</v>
      </c>
      <c r="M11" s="146"/>
      <c r="N11" s="142"/>
      <c r="O11" s="144"/>
      <c r="P11" s="40"/>
    </row>
    <row r="12" ht="15.75" customHeight="1">
      <c r="A12" s="40"/>
      <c r="B12" s="141"/>
      <c r="J12" s="47"/>
      <c r="K12" s="145"/>
      <c r="L12" s="85" t="b">
        <v>0</v>
      </c>
      <c r="M12" s="146"/>
      <c r="N12" s="142"/>
      <c r="O12" s="144"/>
      <c r="P12" s="40"/>
    </row>
    <row r="13" ht="15.75" customHeight="1">
      <c r="A13" s="40"/>
      <c r="B13" s="141"/>
      <c r="J13" s="47"/>
      <c r="K13" s="145"/>
      <c r="L13" s="85" t="b">
        <v>0</v>
      </c>
      <c r="M13" s="146"/>
      <c r="N13" s="142"/>
      <c r="O13" s="144"/>
      <c r="P13" s="40"/>
    </row>
    <row r="14" ht="15.75" customHeight="1">
      <c r="A14" s="40"/>
      <c r="B14" s="141"/>
      <c r="J14" s="47"/>
      <c r="K14" s="145"/>
      <c r="L14" s="85" t="b">
        <v>0</v>
      </c>
      <c r="M14" s="146"/>
      <c r="N14" s="142"/>
      <c r="O14" s="144"/>
      <c r="P14" s="40"/>
    </row>
    <row r="15" ht="15.75" customHeight="1">
      <c r="A15" s="40"/>
      <c r="B15" s="141"/>
      <c r="J15" s="47"/>
      <c r="K15" s="145"/>
      <c r="L15" s="143" t="b">
        <v>0</v>
      </c>
      <c r="M15" s="146"/>
      <c r="N15" s="142"/>
      <c r="O15" s="144"/>
      <c r="P15" s="40"/>
    </row>
    <row r="16" ht="15.75" customHeight="1">
      <c r="A16" s="40"/>
      <c r="B16" s="141"/>
      <c r="J16" s="47"/>
      <c r="K16" s="145"/>
      <c r="L16" s="143" t="b">
        <v>0</v>
      </c>
      <c r="M16" s="146"/>
      <c r="N16" s="142"/>
      <c r="O16" s="144"/>
      <c r="P16" s="40"/>
    </row>
    <row r="17" ht="15.75" customHeight="1">
      <c r="A17" s="40"/>
      <c r="B17" s="141"/>
      <c r="J17" s="47"/>
      <c r="K17" s="145"/>
      <c r="L17" s="143" t="b">
        <v>0</v>
      </c>
      <c r="M17" s="146"/>
      <c r="N17" s="142"/>
      <c r="O17" s="144"/>
      <c r="P17" s="40"/>
    </row>
    <row r="18" ht="15.75" customHeight="1">
      <c r="A18" s="40"/>
      <c r="B18" s="141"/>
      <c r="J18" s="47"/>
      <c r="K18" s="145"/>
      <c r="L18" s="143" t="b">
        <v>0</v>
      </c>
      <c r="M18" s="146"/>
      <c r="N18" s="142"/>
      <c r="O18" s="144"/>
      <c r="P18" s="40"/>
    </row>
    <row r="19" ht="15.75" customHeight="1">
      <c r="A19" s="40"/>
      <c r="B19" s="141"/>
      <c r="J19" s="47"/>
      <c r="K19" s="145"/>
      <c r="L19" s="143" t="b">
        <v>0</v>
      </c>
      <c r="M19" s="146"/>
      <c r="N19" s="142"/>
      <c r="O19" s="144"/>
      <c r="P19" s="40"/>
    </row>
    <row r="20" ht="15.75" customHeight="1">
      <c r="A20" s="40"/>
      <c r="B20" s="141"/>
      <c r="J20" s="47"/>
      <c r="K20" s="145"/>
      <c r="L20" s="143" t="b">
        <v>0</v>
      </c>
      <c r="M20" s="146"/>
      <c r="N20" s="142"/>
      <c r="O20" s="144"/>
      <c r="P20" s="40"/>
    </row>
    <row r="21" ht="15.75" customHeight="1">
      <c r="A21" s="40"/>
      <c r="B21" s="141"/>
      <c r="J21" s="47"/>
      <c r="K21" s="145"/>
      <c r="L21" s="143" t="b">
        <v>0</v>
      </c>
      <c r="M21" s="146"/>
      <c r="N21" s="142"/>
      <c r="O21" s="144"/>
      <c r="P21" s="40"/>
    </row>
    <row r="22" ht="15.75" customHeight="1">
      <c r="A22" s="40"/>
      <c r="B22" s="141"/>
      <c r="J22" s="47"/>
      <c r="K22" s="145"/>
      <c r="L22" s="143" t="b">
        <v>0</v>
      </c>
      <c r="M22" s="146"/>
      <c r="N22" s="142"/>
      <c r="O22" s="144"/>
      <c r="P22" s="40"/>
    </row>
    <row r="23" ht="15.75" customHeight="1">
      <c r="A23" s="40"/>
      <c r="B23" s="141"/>
      <c r="J23" s="47"/>
      <c r="K23" s="145"/>
      <c r="L23" s="143" t="b">
        <v>0</v>
      </c>
      <c r="M23" s="146"/>
      <c r="N23" s="142"/>
      <c r="O23" s="144"/>
      <c r="P23" s="40"/>
    </row>
    <row r="24" ht="15.75" customHeight="1">
      <c r="A24" s="40"/>
      <c r="B24" s="141"/>
      <c r="J24" s="47"/>
      <c r="K24" s="145"/>
      <c r="L24" s="143" t="b">
        <v>0</v>
      </c>
      <c r="M24" s="146"/>
      <c r="N24" s="142"/>
      <c r="O24" s="144"/>
      <c r="P24" s="40"/>
    </row>
    <row r="25" ht="15.75" customHeight="1">
      <c r="A25" s="40"/>
      <c r="B25" s="89"/>
      <c r="C25" s="16"/>
      <c r="D25" s="16"/>
      <c r="E25" s="16"/>
      <c r="F25" s="16"/>
      <c r="G25" s="16"/>
      <c r="H25" s="16"/>
      <c r="I25" s="16"/>
      <c r="J25" s="90"/>
      <c r="K25" s="91"/>
      <c r="L25" s="92" t="b">
        <v>0</v>
      </c>
      <c r="M25" s="93"/>
      <c r="N25" s="94"/>
      <c r="O25" s="95"/>
      <c r="P25" s="40"/>
    </row>
    <row r="26" ht="15.75" customHeight="1">
      <c r="A26" s="40"/>
      <c r="B26" s="96"/>
      <c r="C26" s="1"/>
      <c r="D26" s="1"/>
      <c r="E26" s="1"/>
      <c r="F26" s="1"/>
      <c r="G26" s="1"/>
      <c r="H26" s="1"/>
      <c r="I26" s="1"/>
      <c r="J26" s="101" t="s">
        <v>75</v>
      </c>
      <c r="K26" s="102"/>
      <c r="L26" s="1"/>
      <c r="M26" s="1"/>
      <c r="N26" s="97"/>
      <c r="O26" s="97"/>
      <c r="P26" s="40"/>
    </row>
    <row r="27" ht="15.75" customHeight="1">
      <c r="A27" s="40"/>
      <c r="B27" s="96"/>
      <c r="C27" s="100"/>
      <c r="D27" s="100"/>
      <c r="E27" s="100"/>
      <c r="F27" s="100"/>
      <c r="G27" s="100"/>
      <c r="H27" s="100"/>
      <c r="I27" s="100"/>
      <c r="J27" s="108" t="s">
        <v>63</v>
      </c>
      <c r="K27" s="109"/>
      <c r="L27" s="110"/>
      <c r="M27" s="111" t="s">
        <v>64</v>
      </c>
      <c r="N27" s="109"/>
      <c r="O27" s="102"/>
      <c r="P27" s="40"/>
    </row>
    <row r="28" ht="15.75" customHeight="1">
      <c r="A28" s="40"/>
      <c r="B28" s="19" t="s">
        <v>76</v>
      </c>
      <c r="C28" s="100"/>
      <c r="D28" s="100"/>
      <c r="E28" s="100"/>
      <c r="F28" s="100"/>
      <c r="G28" s="100"/>
      <c r="H28" s="100"/>
      <c r="I28" s="100"/>
      <c r="J28" s="117" t="str">
        <f t="array" ref="J28">GPA({K8:K25,M8:M25,O8:O25},1,2)</f>
        <v>Loading...</v>
      </c>
      <c r="K28" s="118"/>
      <c r="L28" s="110"/>
      <c r="M28" s="119" t="str">
        <f t="array" ref="M28">CREDITSSUM({K8:K25,M8:M25},1,2)</f>
        <v>Loading...</v>
      </c>
      <c r="N28" s="118"/>
      <c r="O28" s="120"/>
      <c r="P28" s="40"/>
    </row>
    <row r="29" ht="31.5" customHeight="1">
      <c r="A29" s="40"/>
      <c r="B29" s="76" t="s">
        <v>53</v>
      </c>
      <c r="C29" s="8"/>
      <c r="D29" s="8"/>
      <c r="E29" s="8"/>
      <c r="F29" s="8"/>
      <c r="G29" s="8"/>
      <c r="H29" s="8"/>
      <c r="I29" s="8"/>
      <c r="J29" s="77"/>
      <c r="K29" s="78" t="s">
        <v>54</v>
      </c>
      <c r="L29" s="79" t="s">
        <v>55</v>
      </c>
      <c r="M29" s="80" t="s">
        <v>56</v>
      </c>
      <c r="N29" s="81"/>
      <c r="O29" s="82" t="s">
        <v>57</v>
      </c>
      <c r="P29" s="1"/>
    </row>
    <row r="30" ht="15.75" customHeight="1">
      <c r="A30" s="40"/>
      <c r="B30" s="83"/>
      <c r="J30" s="47"/>
      <c r="K30" s="84"/>
      <c r="L30" s="85"/>
      <c r="M30" s="86"/>
      <c r="N30" s="87"/>
      <c r="O30" s="88"/>
      <c r="P30" s="1"/>
    </row>
    <row r="31" ht="15.75" customHeight="1">
      <c r="A31" s="40"/>
      <c r="B31" s="141"/>
      <c r="J31" s="47"/>
      <c r="K31" s="84"/>
      <c r="L31" s="85" t="b">
        <v>0</v>
      </c>
      <c r="M31" s="86"/>
      <c r="N31" s="142"/>
      <c r="O31" s="88"/>
      <c r="P31" s="40"/>
    </row>
    <row r="32" ht="15.75" customHeight="1">
      <c r="A32" s="40"/>
      <c r="B32" s="141"/>
      <c r="J32" s="47"/>
      <c r="K32" s="84"/>
      <c r="L32" s="143" t="b">
        <v>0</v>
      </c>
      <c r="M32" s="86"/>
      <c r="N32" s="142"/>
      <c r="O32" s="144"/>
      <c r="P32" s="40"/>
    </row>
    <row r="33" ht="15.75" customHeight="1">
      <c r="A33" s="40"/>
      <c r="B33" s="141"/>
      <c r="J33" s="47"/>
      <c r="K33" s="145"/>
      <c r="L33" s="143" t="b">
        <v>0</v>
      </c>
      <c r="M33" s="146"/>
      <c r="N33" s="142"/>
      <c r="O33" s="144"/>
      <c r="P33" s="40"/>
    </row>
    <row r="34" ht="15.75" customHeight="1">
      <c r="A34" s="40"/>
      <c r="B34" s="141"/>
      <c r="J34" s="47"/>
      <c r="K34" s="145"/>
      <c r="L34" s="85" t="b">
        <v>0</v>
      </c>
      <c r="M34" s="146"/>
      <c r="N34" s="142"/>
      <c r="O34" s="144"/>
      <c r="P34" s="40"/>
    </row>
    <row r="35" ht="15.75" customHeight="1">
      <c r="A35" s="40"/>
      <c r="B35" s="141"/>
      <c r="J35" s="47"/>
      <c r="K35" s="145"/>
      <c r="L35" s="85" t="b">
        <v>0</v>
      </c>
      <c r="M35" s="146"/>
      <c r="N35" s="142"/>
      <c r="O35" s="144"/>
      <c r="P35" s="40"/>
    </row>
    <row r="36" ht="15.75" customHeight="1">
      <c r="A36" s="40"/>
      <c r="B36" s="141"/>
      <c r="J36" s="47"/>
      <c r="K36" s="145"/>
      <c r="L36" s="85" t="b">
        <v>0</v>
      </c>
      <c r="M36" s="146"/>
      <c r="N36" s="142"/>
      <c r="O36" s="144"/>
      <c r="P36" s="40"/>
    </row>
    <row r="37" ht="15.75" customHeight="1">
      <c r="A37" s="40"/>
      <c r="B37" s="141"/>
      <c r="J37" s="47"/>
      <c r="K37" s="146"/>
      <c r="L37" s="85" t="b">
        <v>0</v>
      </c>
      <c r="M37" s="146"/>
      <c r="N37" s="142"/>
      <c r="O37" s="144"/>
      <c r="P37" s="40"/>
    </row>
    <row r="38" ht="15.75" customHeight="1">
      <c r="A38" s="40"/>
      <c r="B38" s="141"/>
      <c r="J38" s="47"/>
      <c r="K38" s="145"/>
      <c r="L38" s="143" t="b">
        <v>0</v>
      </c>
      <c r="M38" s="146"/>
      <c r="N38" s="142"/>
      <c r="O38" s="144"/>
      <c r="P38" s="40"/>
    </row>
    <row r="39" ht="15.75" customHeight="1">
      <c r="A39" s="40"/>
      <c r="B39" s="141"/>
      <c r="J39" s="47"/>
      <c r="K39" s="145"/>
      <c r="L39" s="143" t="b">
        <v>0</v>
      </c>
      <c r="M39" s="146"/>
      <c r="N39" s="142"/>
      <c r="O39" s="144"/>
      <c r="P39" s="40"/>
    </row>
    <row r="40" ht="15.75" customHeight="1">
      <c r="A40" s="40"/>
      <c r="B40" s="141"/>
      <c r="J40" s="47"/>
      <c r="K40" s="145"/>
      <c r="L40" s="143" t="b">
        <v>0</v>
      </c>
      <c r="M40" s="146"/>
      <c r="N40" s="142"/>
      <c r="O40" s="144"/>
      <c r="P40" s="40"/>
    </row>
    <row r="41" ht="15.75" customHeight="1">
      <c r="A41" s="40"/>
      <c r="B41" s="141"/>
      <c r="J41" s="47"/>
      <c r="K41" s="145"/>
      <c r="L41" s="143" t="b">
        <v>0</v>
      </c>
      <c r="M41" s="146"/>
      <c r="N41" s="142"/>
      <c r="O41" s="144"/>
      <c r="P41" s="40"/>
    </row>
    <row r="42" ht="15.75" customHeight="1">
      <c r="A42" s="40"/>
      <c r="B42" s="141"/>
      <c r="J42" s="47"/>
      <c r="K42" s="145"/>
      <c r="L42" s="143" t="b">
        <v>0</v>
      </c>
      <c r="M42" s="146"/>
      <c r="N42" s="142"/>
      <c r="O42" s="144"/>
      <c r="P42" s="40"/>
    </row>
    <row r="43" ht="15.75" customHeight="1">
      <c r="A43" s="40"/>
      <c r="B43" s="141"/>
      <c r="J43" s="47"/>
      <c r="K43" s="145"/>
      <c r="L43" s="143" t="b">
        <v>0</v>
      </c>
      <c r="M43" s="146"/>
      <c r="N43" s="142"/>
      <c r="O43" s="144"/>
      <c r="P43" s="40"/>
    </row>
    <row r="44" ht="15.75" customHeight="1">
      <c r="A44" s="40"/>
      <c r="B44" s="141"/>
      <c r="J44" s="47"/>
      <c r="K44" s="145"/>
      <c r="L44" s="143" t="b">
        <v>0</v>
      </c>
      <c r="M44" s="146"/>
      <c r="N44" s="142"/>
      <c r="O44" s="144"/>
      <c r="P44" s="40"/>
    </row>
    <row r="45" ht="15.75" customHeight="1">
      <c r="A45" s="40"/>
      <c r="B45" s="141"/>
      <c r="J45" s="47"/>
      <c r="K45" s="145"/>
      <c r="L45" s="143" t="b">
        <v>0</v>
      </c>
      <c r="M45" s="146"/>
      <c r="N45" s="142"/>
      <c r="O45" s="144"/>
      <c r="P45" s="40"/>
    </row>
    <row r="46" ht="15.75" customHeight="1">
      <c r="A46" s="40"/>
      <c r="B46" s="141"/>
      <c r="J46" s="47"/>
      <c r="K46" s="145"/>
      <c r="L46" s="143" t="b">
        <v>0</v>
      </c>
      <c r="M46" s="146"/>
      <c r="N46" s="142"/>
      <c r="O46" s="144"/>
      <c r="P46" s="40"/>
    </row>
    <row r="47" ht="15.75" customHeight="1">
      <c r="A47" s="40"/>
      <c r="B47" s="89"/>
      <c r="C47" s="16"/>
      <c r="D47" s="16"/>
      <c r="E47" s="16"/>
      <c r="F47" s="16"/>
      <c r="G47" s="16"/>
      <c r="H47" s="16"/>
      <c r="I47" s="16"/>
      <c r="J47" s="90"/>
      <c r="K47" s="91"/>
      <c r="L47" s="92" t="b">
        <v>0</v>
      </c>
      <c r="M47" s="93"/>
      <c r="N47" s="94"/>
      <c r="O47" s="95"/>
      <c r="P47" s="40"/>
    </row>
    <row r="48" ht="15.75" customHeight="1">
      <c r="A48" s="40"/>
      <c r="B48" s="96"/>
      <c r="C48" s="1"/>
      <c r="D48" s="1"/>
      <c r="E48" s="1"/>
      <c r="F48" s="1"/>
      <c r="G48" s="1"/>
      <c r="H48" s="1"/>
      <c r="I48" s="1"/>
      <c r="J48" s="101" t="s">
        <v>77</v>
      </c>
      <c r="K48" s="102"/>
      <c r="L48" s="1"/>
      <c r="M48" s="1"/>
      <c r="N48" s="97"/>
      <c r="O48" s="97"/>
      <c r="P48" s="40"/>
    </row>
    <row r="49" ht="15.75" customHeight="1">
      <c r="A49" s="40"/>
      <c r="B49" s="1"/>
      <c r="C49" s="1"/>
      <c r="D49" s="1"/>
      <c r="E49" s="1"/>
      <c r="F49" s="1"/>
      <c r="G49" s="1"/>
      <c r="H49" s="1"/>
      <c r="I49" s="100"/>
      <c r="J49" s="108" t="s">
        <v>63</v>
      </c>
      <c r="K49" s="109"/>
      <c r="L49" s="110"/>
      <c r="M49" s="111" t="s">
        <v>64</v>
      </c>
      <c r="N49" s="109"/>
      <c r="O49" s="102"/>
      <c r="P49" s="40"/>
    </row>
    <row r="50" ht="15.75" customHeight="1">
      <c r="A50" s="40"/>
      <c r="B50" s="98" t="s">
        <v>58</v>
      </c>
      <c r="C50" s="99"/>
      <c r="D50" s="99"/>
      <c r="E50" s="99"/>
      <c r="F50" s="99"/>
      <c r="G50" s="99"/>
      <c r="H50" s="99"/>
      <c r="I50" s="100"/>
      <c r="J50" s="117" t="str">
        <f t="array" ref="J50">GPA({K30:K47,M30:M47,O30:O47},1,2)</f>
        <v>Loading...</v>
      </c>
      <c r="K50" s="118"/>
      <c r="L50" s="110"/>
      <c r="M50" s="119" t="str">
        <f t="array" ref="M50">CREDITSSUM({K30:K47,M30:M47},1,2)</f>
        <v>Loading...</v>
      </c>
      <c r="N50" s="118"/>
      <c r="O50" s="120"/>
      <c r="P50" s="40"/>
    </row>
    <row r="51" ht="15.75" customHeight="1">
      <c r="A51" s="40"/>
      <c r="B51" s="103" t="s">
        <v>60</v>
      </c>
      <c r="C51" s="104" t="s">
        <v>61</v>
      </c>
      <c r="D51" s="105"/>
      <c r="E51" s="106"/>
      <c r="F51" s="104" t="s">
        <v>62</v>
      </c>
      <c r="G51" s="105"/>
      <c r="H51" s="107"/>
      <c r="I51" s="110"/>
      <c r="J51" s="1"/>
      <c r="K51" s="1"/>
      <c r="L51" s="1"/>
      <c r="M51" s="1"/>
      <c r="N51" s="1"/>
      <c r="O51" s="1"/>
      <c r="P51" s="40"/>
    </row>
    <row r="52" ht="15.75" customHeight="1">
      <c r="A52" s="40"/>
      <c r="B52" s="112"/>
      <c r="C52" s="113" t="s">
        <v>65</v>
      </c>
      <c r="D52" s="114" t="s">
        <v>66</v>
      </c>
      <c r="E52" s="115" t="s">
        <v>67</v>
      </c>
      <c r="F52" s="113" t="s">
        <v>65</v>
      </c>
      <c r="G52" s="114" t="s">
        <v>66</v>
      </c>
      <c r="H52" s="116" t="s">
        <v>67</v>
      </c>
      <c r="I52" s="110"/>
      <c r="J52" s="1"/>
      <c r="K52" s="1"/>
      <c r="L52" s="1"/>
      <c r="M52" s="1"/>
      <c r="N52" s="1"/>
      <c r="O52" s="1"/>
      <c r="P52" s="40"/>
    </row>
    <row r="53" ht="15.75" customHeight="1">
      <c r="A53" s="40"/>
      <c r="B53" s="132" t="s">
        <v>68</v>
      </c>
      <c r="C53" s="122"/>
      <c r="D53" s="84"/>
      <c r="E53" s="123"/>
      <c r="F53" s="86"/>
      <c r="G53" s="84"/>
      <c r="H53" s="124"/>
      <c r="I53" s="110"/>
      <c r="J53" s="101" t="s">
        <v>59</v>
      </c>
      <c r="K53" s="102"/>
      <c r="L53" s="1"/>
      <c r="M53" s="1"/>
      <c r="N53" s="97"/>
      <c r="O53" s="97"/>
      <c r="P53" s="40"/>
    </row>
    <row r="54" ht="15.75" customHeight="1">
      <c r="A54" s="40"/>
      <c r="B54" s="132" t="s">
        <v>69</v>
      </c>
      <c r="C54" s="122"/>
      <c r="D54" s="84"/>
      <c r="E54" s="123"/>
      <c r="F54" s="86"/>
      <c r="G54" s="84"/>
      <c r="H54" s="124"/>
      <c r="I54" s="110"/>
      <c r="J54" s="108" t="s">
        <v>63</v>
      </c>
      <c r="K54" s="109"/>
      <c r="L54" s="110"/>
      <c r="M54" s="111" t="s">
        <v>64</v>
      </c>
      <c r="N54" s="109"/>
      <c r="O54" s="102"/>
      <c r="P54" s="40"/>
    </row>
    <row r="55" ht="15.75" customHeight="1">
      <c r="A55" s="40"/>
      <c r="B55" s="121" t="s">
        <v>70</v>
      </c>
      <c r="C55" s="122"/>
      <c r="D55" s="84"/>
      <c r="E55" s="123"/>
      <c r="F55" s="86"/>
      <c r="G55" s="84"/>
      <c r="H55" s="124"/>
      <c r="I55" s="110"/>
      <c r="J55" s="117" t="str">
        <f t="array" ref="J55">GPA({K8:K25,M8:M25,O8:O25;K30:K47,M30:M47,O30:O47},1,2)</f>
        <v>Loading...</v>
      </c>
      <c r="K55" s="118"/>
      <c r="L55" s="110"/>
      <c r="M55" s="119" t="str">
        <f t="array" ref="M55">CREDITSSUM({K8:K25,M8:M25;K30:K47,M30:M47},1,2)</f>
        <v>Loading...</v>
      </c>
      <c r="N55" s="118"/>
      <c r="O55" s="120"/>
      <c r="P55" s="40"/>
    </row>
    <row r="56" ht="15.75" customHeight="1">
      <c r="A56" s="40"/>
      <c r="B56" s="125" t="s">
        <v>71</v>
      </c>
      <c r="C56" s="126"/>
      <c r="D56" s="127"/>
      <c r="E56" s="128"/>
      <c r="F56" s="129"/>
      <c r="G56" s="127"/>
      <c r="H56" s="130"/>
      <c r="I56" s="97"/>
      <c r="J56" s="97"/>
      <c r="K56" s="97"/>
      <c r="L56" s="131"/>
      <c r="M56" s="97"/>
      <c r="N56" s="97"/>
      <c r="O56" s="97"/>
      <c r="P56" s="40"/>
    </row>
    <row r="57" ht="15.75" customHeight="1">
      <c r="A57" s="40"/>
      <c r="B57" s="96"/>
      <c r="C57" s="97"/>
      <c r="D57" s="97"/>
      <c r="E57" s="97"/>
      <c r="F57" s="97"/>
      <c r="G57" s="97"/>
      <c r="H57" s="97"/>
      <c r="I57" s="97"/>
      <c r="J57" s="97"/>
      <c r="K57" s="97"/>
      <c r="L57" s="131"/>
      <c r="M57" s="97"/>
      <c r="N57" s="97"/>
      <c r="O57" s="97"/>
      <c r="P57" s="40"/>
    </row>
    <row r="58" ht="15.75" customHeight="1">
      <c r="A58" s="40"/>
      <c r="B58" s="96"/>
      <c r="C58" s="97"/>
      <c r="D58" s="97"/>
      <c r="E58" s="97"/>
      <c r="F58" s="97"/>
      <c r="G58" s="97"/>
      <c r="H58" s="97"/>
      <c r="I58" s="97"/>
      <c r="J58" s="97"/>
      <c r="K58" s="97"/>
      <c r="L58" s="131"/>
      <c r="M58" s="97"/>
      <c r="N58" s="97"/>
      <c r="O58" s="97"/>
      <c r="P58" s="40"/>
    </row>
  </sheetData>
  <mergeCells count="74">
    <mergeCell ref="B36:J36"/>
    <mergeCell ref="B37:J37"/>
    <mergeCell ref="B38:J38"/>
    <mergeCell ref="B39:J39"/>
    <mergeCell ref="B40:J40"/>
    <mergeCell ref="B41:J41"/>
    <mergeCell ref="B42:J42"/>
    <mergeCell ref="J49:K49"/>
    <mergeCell ref="J50:K50"/>
    <mergeCell ref="M50:O50"/>
    <mergeCell ref="B51:B52"/>
    <mergeCell ref="C51:E51"/>
    <mergeCell ref="F51:H51"/>
    <mergeCell ref="J53:K53"/>
    <mergeCell ref="J54:K54"/>
    <mergeCell ref="M54:O54"/>
    <mergeCell ref="J55:K55"/>
    <mergeCell ref="M55:O55"/>
    <mergeCell ref="B43:J43"/>
    <mergeCell ref="B44:J44"/>
    <mergeCell ref="B45:J45"/>
    <mergeCell ref="B46:J46"/>
    <mergeCell ref="B47:J47"/>
    <mergeCell ref="J48:K48"/>
    <mergeCell ref="M49:O49"/>
    <mergeCell ref="C1:H1"/>
    <mergeCell ref="I1:O1"/>
    <mergeCell ref="C2:E2"/>
    <mergeCell ref="F2:H2"/>
    <mergeCell ref="I2:J2"/>
    <mergeCell ref="K2:O2"/>
    <mergeCell ref="C3:E3"/>
    <mergeCell ref="K3:O3"/>
    <mergeCell ref="F3:H3"/>
    <mergeCell ref="I3:J3"/>
    <mergeCell ref="C4:E4"/>
    <mergeCell ref="F4:H4"/>
    <mergeCell ref="I4:J4"/>
    <mergeCell ref="K4:O4"/>
    <mergeCell ref="C5:E6"/>
    <mergeCell ref="K5:O6"/>
    <mergeCell ref="F5:H6"/>
    <mergeCell ref="I5:J6"/>
    <mergeCell ref="B7:J7"/>
    <mergeCell ref="B8:J8"/>
    <mergeCell ref="B9:J9"/>
    <mergeCell ref="B10:J10"/>
    <mergeCell ref="B11:J11"/>
    <mergeCell ref="B12:J12"/>
    <mergeCell ref="B13:J13"/>
    <mergeCell ref="B14:J14"/>
    <mergeCell ref="B15:J15"/>
    <mergeCell ref="B16:J16"/>
    <mergeCell ref="B17:J17"/>
    <mergeCell ref="B18:J18"/>
    <mergeCell ref="J26:K26"/>
    <mergeCell ref="J27:K27"/>
    <mergeCell ref="M27:O27"/>
    <mergeCell ref="J28:K28"/>
    <mergeCell ref="M28:O28"/>
    <mergeCell ref="B19:J19"/>
    <mergeCell ref="B20:J20"/>
    <mergeCell ref="B21:J21"/>
    <mergeCell ref="B22:J22"/>
    <mergeCell ref="B23:J23"/>
    <mergeCell ref="B24:J24"/>
    <mergeCell ref="B25:J25"/>
    <mergeCell ref="B29:J29"/>
    <mergeCell ref="B30:J30"/>
    <mergeCell ref="B31:J31"/>
    <mergeCell ref="B32:J32"/>
    <mergeCell ref="B33:J33"/>
    <mergeCell ref="B34:J34"/>
    <mergeCell ref="B35:J35"/>
  </mergeCells>
  <dataValidations>
    <dataValidation type="custom" allowBlank="1" showDropDown="1" showInputMessage="1" showErrorMessage="1" prompt="Enter a number" sqref="K8:K16 O8:O25 K30:K39 O30:O47">
      <formula1>ISNUMBER(K8)</formula1>
    </dataValidation>
    <dataValidation type="list" allowBlank="1" showInputMessage="1" showErrorMessage="1" prompt="Click and enter a valid scale from the list of items. The valid scales are Letter, 0-100, 0-4, and None" sqref="B3">
      <formula1>"Letter,0-4,0-100,None"</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8.88"/>
    <col customWidth="1" min="3" max="8" width="6.38"/>
    <col customWidth="1" hidden="1" min="9" max="9" width="18.88"/>
    <col customWidth="1" min="10" max="10" width="18.88"/>
    <col customWidth="1" min="11" max="11" width="6.38"/>
    <col customWidth="1" hidden="1" min="12" max="12" width="18.88"/>
    <col customWidth="1" min="13" max="13" width="6.38"/>
    <col customWidth="1" hidden="1" min="14" max="14" width="6.38"/>
    <col customWidth="1" min="15" max="15" width="6.38"/>
  </cols>
  <sheetData>
    <row r="1" ht="31.5" customHeight="1">
      <c r="A1" s="58"/>
      <c r="B1" s="1"/>
      <c r="C1" s="71" t="s">
        <v>5</v>
      </c>
      <c r="I1" s="58" t="s">
        <v>6</v>
      </c>
      <c r="P1" s="72"/>
    </row>
    <row r="2" ht="15.75" customHeight="1">
      <c r="A2" s="73"/>
      <c r="B2" s="74" t="s">
        <v>50</v>
      </c>
      <c r="C2" s="59" t="s">
        <v>8</v>
      </c>
      <c r="F2" s="60" t="str">
        <f>'Getting Started'!$G$10</f>
        <v/>
      </c>
      <c r="I2" s="59" t="s">
        <v>9</v>
      </c>
      <c r="K2" s="60" t="str">
        <f>'Getting Started'!$I$10</f>
        <v/>
      </c>
      <c r="P2" s="40"/>
    </row>
    <row r="3" ht="15.75" customHeight="1">
      <c r="A3" s="73"/>
      <c r="B3" s="75" t="s">
        <v>51</v>
      </c>
      <c r="C3" s="59" t="s">
        <v>11</v>
      </c>
      <c r="F3" s="61" t="str">
        <f>'Getting Started'!$G$11</f>
        <v/>
      </c>
      <c r="I3" s="59" t="s">
        <v>12</v>
      </c>
      <c r="K3" s="60" t="str">
        <f>'Getting Started'!$I$11</f>
        <v/>
      </c>
      <c r="P3" s="40"/>
    </row>
    <row r="4" ht="31.5" customHeight="1">
      <c r="A4" s="73"/>
      <c r="B4" s="1"/>
      <c r="C4" s="59" t="s">
        <v>13</v>
      </c>
      <c r="F4" s="60" t="str">
        <f>'Getting Started'!$G$12</f>
        <v/>
      </c>
      <c r="I4" s="59" t="s">
        <v>14</v>
      </c>
      <c r="K4" s="60" t="str">
        <f>'Getting Started'!$I$12</f>
        <v/>
      </c>
      <c r="P4" s="40"/>
    </row>
    <row r="5" ht="15.75" customHeight="1">
      <c r="A5" s="73"/>
      <c r="B5" s="1"/>
      <c r="C5" s="59" t="s">
        <v>15</v>
      </c>
      <c r="F5" s="62" t="str">
        <f>'Getting Started'!$G$14</f>
        <v/>
      </c>
      <c r="I5" s="59" t="s">
        <v>16</v>
      </c>
      <c r="K5" s="60" t="str">
        <f>'Getting Started'!$I$14</f>
        <v/>
      </c>
      <c r="P5" s="40"/>
    </row>
    <row r="6" ht="15.75" customHeight="1">
      <c r="A6" s="73"/>
      <c r="B6" s="19" t="s">
        <v>74</v>
      </c>
      <c r="P6" s="40"/>
    </row>
    <row r="7" ht="31.5" customHeight="1">
      <c r="A7" s="40"/>
      <c r="B7" s="76" t="s">
        <v>53</v>
      </c>
      <c r="C7" s="8"/>
      <c r="D7" s="8"/>
      <c r="E7" s="8"/>
      <c r="F7" s="8"/>
      <c r="G7" s="8"/>
      <c r="H7" s="8"/>
      <c r="I7" s="8"/>
      <c r="J7" s="77"/>
      <c r="K7" s="78" t="s">
        <v>54</v>
      </c>
      <c r="L7" s="79" t="s">
        <v>55</v>
      </c>
      <c r="M7" s="80" t="s">
        <v>56</v>
      </c>
      <c r="N7" s="81"/>
      <c r="O7" s="82" t="s">
        <v>57</v>
      </c>
      <c r="P7" s="1"/>
    </row>
    <row r="8" ht="15.75" customHeight="1">
      <c r="A8" s="40"/>
      <c r="B8" s="83"/>
      <c r="J8" s="47"/>
      <c r="K8" s="84"/>
      <c r="L8" s="85"/>
      <c r="M8" s="86"/>
      <c r="N8" s="87"/>
      <c r="O8" s="88"/>
      <c r="P8" s="1"/>
    </row>
    <row r="9" ht="15.75" customHeight="1">
      <c r="A9" s="40"/>
      <c r="B9" s="141"/>
      <c r="J9" s="47"/>
      <c r="K9" s="84"/>
      <c r="L9" s="85" t="b">
        <v>0</v>
      </c>
      <c r="M9" s="86"/>
      <c r="N9" s="142"/>
      <c r="O9" s="88"/>
      <c r="P9" s="40"/>
    </row>
    <row r="10" ht="15.75" customHeight="1">
      <c r="A10" s="40"/>
      <c r="B10" s="141"/>
      <c r="J10" s="47"/>
      <c r="K10" s="84"/>
      <c r="L10" s="143" t="b">
        <v>0</v>
      </c>
      <c r="M10" s="86"/>
      <c r="N10" s="142"/>
      <c r="O10" s="144"/>
      <c r="P10" s="40"/>
    </row>
    <row r="11" ht="15.75" customHeight="1">
      <c r="A11" s="40"/>
      <c r="B11" s="141"/>
      <c r="J11" s="47"/>
      <c r="K11" s="145"/>
      <c r="L11" s="143" t="b">
        <v>0</v>
      </c>
      <c r="M11" s="146"/>
      <c r="N11" s="142"/>
      <c r="O11" s="144"/>
      <c r="P11" s="40"/>
    </row>
    <row r="12" ht="15.75" customHeight="1">
      <c r="A12" s="40"/>
      <c r="B12" s="141"/>
      <c r="J12" s="47"/>
      <c r="K12" s="145"/>
      <c r="L12" s="85" t="b">
        <v>0</v>
      </c>
      <c r="M12" s="146"/>
      <c r="N12" s="142"/>
      <c r="O12" s="144"/>
      <c r="P12" s="40"/>
    </row>
    <row r="13" ht="15.75" customHeight="1">
      <c r="A13" s="40"/>
      <c r="B13" s="141"/>
      <c r="J13" s="47"/>
      <c r="K13" s="145"/>
      <c r="L13" s="85" t="b">
        <v>0</v>
      </c>
      <c r="M13" s="146"/>
      <c r="N13" s="142"/>
      <c r="O13" s="144"/>
      <c r="P13" s="40"/>
    </row>
    <row r="14" ht="15.75" customHeight="1">
      <c r="A14" s="40"/>
      <c r="B14" s="141"/>
      <c r="J14" s="47"/>
      <c r="K14" s="145"/>
      <c r="L14" s="85" t="b">
        <v>0</v>
      </c>
      <c r="M14" s="146"/>
      <c r="N14" s="142"/>
      <c r="O14" s="144"/>
      <c r="P14" s="40"/>
    </row>
    <row r="15" ht="15.75" customHeight="1">
      <c r="A15" s="40"/>
      <c r="B15" s="141"/>
      <c r="J15" s="47"/>
      <c r="K15" s="145"/>
      <c r="L15" s="143" t="b">
        <v>0</v>
      </c>
      <c r="M15" s="146"/>
      <c r="N15" s="142"/>
      <c r="O15" s="144"/>
      <c r="P15" s="40"/>
    </row>
    <row r="16" ht="15.75" customHeight="1">
      <c r="A16" s="40"/>
      <c r="B16" s="141"/>
      <c r="J16" s="47"/>
      <c r="K16" s="145"/>
      <c r="L16" s="143" t="b">
        <v>0</v>
      </c>
      <c r="M16" s="146"/>
      <c r="N16" s="142"/>
      <c r="O16" s="144"/>
      <c r="P16" s="40"/>
    </row>
    <row r="17" ht="15.75" customHeight="1">
      <c r="A17" s="40"/>
      <c r="B17" s="141"/>
      <c r="J17" s="47"/>
      <c r="K17" s="145"/>
      <c r="L17" s="143" t="b">
        <v>0</v>
      </c>
      <c r="M17" s="146"/>
      <c r="N17" s="142"/>
      <c r="O17" s="144"/>
      <c r="P17" s="40"/>
    </row>
    <row r="18" ht="15.75" customHeight="1">
      <c r="A18" s="40"/>
      <c r="B18" s="141"/>
      <c r="J18" s="47"/>
      <c r="K18" s="145"/>
      <c r="L18" s="143" t="b">
        <v>0</v>
      </c>
      <c r="M18" s="146"/>
      <c r="N18" s="142"/>
      <c r="O18" s="144"/>
      <c r="P18" s="40"/>
    </row>
    <row r="19" ht="15.75" customHeight="1">
      <c r="A19" s="40"/>
      <c r="B19" s="141"/>
      <c r="J19" s="47"/>
      <c r="K19" s="145"/>
      <c r="L19" s="143" t="b">
        <v>0</v>
      </c>
      <c r="M19" s="146"/>
      <c r="N19" s="142"/>
      <c r="O19" s="144"/>
      <c r="P19" s="40"/>
    </row>
    <row r="20" ht="15.75" customHeight="1">
      <c r="A20" s="40"/>
      <c r="B20" s="141"/>
      <c r="J20" s="47"/>
      <c r="K20" s="145"/>
      <c r="L20" s="143" t="b">
        <v>0</v>
      </c>
      <c r="M20" s="146"/>
      <c r="N20" s="142"/>
      <c r="O20" s="144"/>
      <c r="P20" s="40"/>
    </row>
    <row r="21" ht="15.75" customHeight="1">
      <c r="A21" s="40"/>
      <c r="B21" s="141"/>
      <c r="J21" s="47"/>
      <c r="K21" s="145"/>
      <c r="L21" s="143" t="b">
        <v>0</v>
      </c>
      <c r="M21" s="146"/>
      <c r="N21" s="142"/>
      <c r="O21" s="144"/>
      <c r="P21" s="40"/>
    </row>
    <row r="22" ht="15.75" customHeight="1">
      <c r="A22" s="40"/>
      <c r="B22" s="141"/>
      <c r="J22" s="47"/>
      <c r="K22" s="145"/>
      <c r="L22" s="143" t="b">
        <v>0</v>
      </c>
      <c r="M22" s="146"/>
      <c r="N22" s="142"/>
      <c r="O22" s="144"/>
      <c r="P22" s="40"/>
    </row>
    <row r="23" ht="15.75" customHeight="1">
      <c r="A23" s="40"/>
      <c r="B23" s="141"/>
      <c r="J23" s="47"/>
      <c r="K23" s="145"/>
      <c r="L23" s="143" t="b">
        <v>0</v>
      </c>
      <c r="M23" s="146"/>
      <c r="N23" s="142"/>
      <c r="O23" s="144"/>
      <c r="P23" s="40"/>
    </row>
    <row r="24" ht="15.75" customHeight="1">
      <c r="A24" s="40"/>
      <c r="B24" s="141"/>
      <c r="J24" s="47"/>
      <c r="K24" s="145"/>
      <c r="L24" s="143" t="b">
        <v>0</v>
      </c>
      <c r="M24" s="146"/>
      <c r="N24" s="142"/>
      <c r="O24" s="144"/>
      <c r="P24" s="40"/>
    </row>
    <row r="25" ht="15.75" customHeight="1">
      <c r="A25" s="40"/>
      <c r="B25" s="89"/>
      <c r="C25" s="16"/>
      <c r="D25" s="16"/>
      <c r="E25" s="16"/>
      <c r="F25" s="16"/>
      <c r="G25" s="16"/>
      <c r="H25" s="16"/>
      <c r="I25" s="16"/>
      <c r="J25" s="90"/>
      <c r="K25" s="91"/>
      <c r="L25" s="92" t="b">
        <v>0</v>
      </c>
      <c r="M25" s="93"/>
      <c r="N25" s="94"/>
      <c r="O25" s="95"/>
      <c r="P25" s="40"/>
    </row>
    <row r="26" ht="15.75" customHeight="1">
      <c r="A26" s="40"/>
      <c r="B26" s="96"/>
      <c r="C26" s="1"/>
      <c r="D26" s="1"/>
      <c r="E26" s="1"/>
      <c r="F26" s="1"/>
      <c r="G26" s="1"/>
      <c r="H26" s="1"/>
      <c r="I26" s="1"/>
      <c r="J26" s="101" t="s">
        <v>75</v>
      </c>
      <c r="K26" s="102"/>
      <c r="L26" s="1"/>
      <c r="M26" s="1"/>
      <c r="N26" s="97"/>
      <c r="O26" s="97"/>
      <c r="P26" s="40"/>
    </row>
    <row r="27" ht="15.75" customHeight="1">
      <c r="A27" s="40"/>
      <c r="B27" s="96"/>
      <c r="C27" s="100"/>
      <c r="D27" s="100"/>
      <c r="E27" s="100"/>
      <c r="F27" s="100"/>
      <c r="G27" s="100"/>
      <c r="H27" s="100"/>
      <c r="I27" s="100"/>
      <c r="J27" s="108" t="s">
        <v>63</v>
      </c>
      <c r="K27" s="109"/>
      <c r="L27" s="110"/>
      <c r="M27" s="111" t="s">
        <v>64</v>
      </c>
      <c r="N27" s="109"/>
      <c r="O27" s="102"/>
      <c r="P27" s="40"/>
    </row>
    <row r="28" ht="15.75" customHeight="1">
      <c r="A28" s="40"/>
      <c r="B28" s="19" t="s">
        <v>76</v>
      </c>
      <c r="C28" s="100"/>
      <c r="D28" s="100"/>
      <c r="E28" s="100"/>
      <c r="F28" s="100"/>
      <c r="G28" s="100"/>
      <c r="H28" s="100"/>
      <c r="I28" s="100"/>
      <c r="J28" s="117" t="str">
        <f t="array" ref="J28">GPA({K8:K25,M8:M25,O8:O25},1,2)</f>
        <v>Loading...</v>
      </c>
      <c r="K28" s="118"/>
      <c r="L28" s="110"/>
      <c r="M28" s="119" t="str">
        <f t="array" ref="M28">CREDITSSUM({K8:K25,M8:M25},1,2)</f>
        <v>Loading...</v>
      </c>
      <c r="N28" s="118"/>
      <c r="O28" s="120"/>
      <c r="P28" s="40"/>
    </row>
    <row r="29" ht="31.5" customHeight="1">
      <c r="A29" s="40"/>
      <c r="B29" s="76" t="s">
        <v>53</v>
      </c>
      <c r="C29" s="8"/>
      <c r="D29" s="8"/>
      <c r="E29" s="8"/>
      <c r="F29" s="8"/>
      <c r="G29" s="8"/>
      <c r="H29" s="8"/>
      <c r="I29" s="8"/>
      <c r="J29" s="77"/>
      <c r="K29" s="78" t="s">
        <v>54</v>
      </c>
      <c r="L29" s="79" t="s">
        <v>55</v>
      </c>
      <c r="M29" s="80" t="s">
        <v>56</v>
      </c>
      <c r="N29" s="81"/>
      <c r="O29" s="82" t="s">
        <v>57</v>
      </c>
      <c r="P29" s="1"/>
    </row>
    <row r="30" ht="15.75" customHeight="1">
      <c r="A30" s="40"/>
      <c r="B30" s="83"/>
      <c r="J30" s="47"/>
      <c r="K30" s="84"/>
      <c r="L30" s="85"/>
      <c r="M30" s="86"/>
      <c r="N30" s="87"/>
      <c r="O30" s="88"/>
      <c r="P30" s="1"/>
    </row>
    <row r="31" ht="15.75" customHeight="1">
      <c r="A31" s="40"/>
      <c r="B31" s="141"/>
      <c r="J31" s="47"/>
      <c r="K31" s="84"/>
      <c r="L31" s="85" t="b">
        <v>0</v>
      </c>
      <c r="M31" s="86"/>
      <c r="N31" s="142"/>
      <c r="O31" s="88"/>
      <c r="P31" s="40"/>
    </row>
    <row r="32" ht="15.75" customHeight="1">
      <c r="A32" s="40"/>
      <c r="B32" s="141"/>
      <c r="J32" s="47"/>
      <c r="K32" s="84"/>
      <c r="L32" s="143" t="b">
        <v>0</v>
      </c>
      <c r="M32" s="86"/>
      <c r="N32" s="142"/>
      <c r="O32" s="144"/>
      <c r="P32" s="40"/>
    </row>
    <row r="33" ht="15.75" customHeight="1">
      <c r="A33" s="40"/>
      <c r="B33" s="141"/>
      <c r="J33" s="47"/>
      <c r="K33" s="145"/>
      <c r="L33" s="143" t="b">
        <v>0</v>
      </c>
      <c r="M33" s="146"/>
      <c r="N33" s="142"/>
      <c r="O33" s="144"/>
      <c r="P33" s="40"/>
    </row>
    <row r="34" ht="15.75" customHeight="1">
      <c r="A34" s="40"/>
      <c r="B34" s="141"/>
      <c r="J34" s="47"/>
      <c r="K34" s="145"/>
      <c r="L34" s="85" t="b">
        <v>0</v>
      </c>
      <c r="M34" s="146"/>
      <c r="N34" s="142"/>
      <c r="O34" s="144"/>
      <c r="P34" s="40"/>
    </row>
    <row r="35" ht="15.75" customHeight="1">
      <c r="A35" s="40"/>
      <c r="B35" s="141"/>
      <c r="J35" s="47"/>
      <c r="K35" s="145"/>
      <c r="L35" s="85" t="b">
        <v>0</v>
      </c>
      <c r="M35" s="146"/>
      <c r="N35" s="142"/>
      <c r="O35" s="144"/>
      <c r="P35" s="40"/>
    </row>
    <row r="36" ht="15.75" customHeight="1">
      <c r="A36" s="40"/>
      <c r="B36" s="141"/>
      <c r="J36" s="47"/>
      <c r="K36" s="145"/>
      <c r="L36" s="85" t="b">
        <v>0</v>
      </c>
      <c r="M36" s="146"/>
      <c r="N36" s="142"/>
      <c r="O36" s="144"/>
      <c r="P36" s="40"/>
    </row>
    <row r="37" ht="15.75" customHeight="1">
      <c r="A37" s="40"/>
      <c r="B37" s="141"/>
      <c r="J37" s="47"/>
      <c r="K37" s="146"/>
      <c r="L37" s="85" t="b">
        <v>0</v>
      </c>
      <c r="M37" s="146"/>
      <c r="N37" s="142"/>
      <c r="O37" s="144"/>
      <c r="P37" s="40"/>
    </row>
    <row r="38" ht="15.75" customHeight="1">
      <c r="A38" s="40"/>
      <c r="B38" s="141"/>
      <c r="J38" s="47"/>
      <c r="K38" s="145"/>
      <c r="L38" s="143" t="b">
        <v>0</v>
      </c>
      <c r="M38" s="146"/>
      <c r="N38" s="142"/>
      <c r="O38" s="144"/>
      <c r="P38" s="40"/>
    </row>
    <row r="39" ht="15.75" customHeight="1">
      <c r="A39" s="40"/>
      <c r="B39" s="141"/>
      <c r="J39" s="47"/>
      <c r="K39" s="145"/>
      <c r="L39" s="143" t="b">
        <v>0</v>
      </c>
      <c r="M39" s="146"/>
      <c r="N39" s="142"/>
      <c r="O39" s="144"/>
      <c r="P39" s="40"/>
    </row>
    <row r="40" ht="15.75" customHeight="1">
      <c r="A40" s="40"/>
      <c r="B40" s="141"/>
      <c r="J40" s="47"/>
      <c r="K40" s="145"/>
      <c r="L40" s="143" t="b">
        <v>0</v>
      </c>
      <c r="M40" s="146"/>
      <c r="N40" s="142"/>
      <c r="O40" s="144"/>
      <c r="P40" s="40"/>
    </row>
    <row r="41" ht="15.75" customHeight="1">
      <c r="A41" s="40"/>
      <c r="B41" s="141"/>
      <c r="J41" s="47"/>
      <c r="K41" s="145"/>
      <c r="L41" s="143" t="b">
        <v>0</v>
      </c>
      <c r="M41" s="146"/>
      <c r="N41" s="142"/>
      <c r="O41" s="144"/>
      <c r="P41" s="40"/>
    </row>
    <row r="42" ht="15.75" customHeight="1">
      <c r="A42" s="40"/>
      <c r="B42" s="141"/>
      <c r="J42" s="47"/>
      <c r="K42" s="145"/>
      <c r="L42" s="143" t="b">
        <v>0</v>
      </c>
      <c r="M42" s="146"/>
      <c r="N42" s="142"/>
      <c r="O42" s="144"/>
      <c r="P42" s="40"/>
    </row>
    <row r="43" ht="15.75" customHeight="1">
      <c r="A43" s="40"/>
      <c r="B43" s="141"/>
      <c r="J43" s="47"/>
      <c r="K43" s="145"/>
      <c r="L43" s="143" t="b">
        <v>0</v>
      </c>
      <c r="M43" s="146"/>
      <c r="N43" s="142"/>
      <c r="O43" s="144"/>
      <c r="P43" s="40"/>
    </row>
    <row r="44" ht="15.75" customHeight="1">
      <c r="A44" s="40"/>
      <c r="B44" s="141"/>
      <c r="J44" s="47"/>
      <c r="K44" s="145"/>
      <c r="L44" s="143" t="b">
        <v>0</v>
      </c>
      <c r="M44" s="146"/>
      <c r="N44" s="142"/>
      <c r="O44" s="144"/>
      <c r="P44" s="40"/>
    </row>
    <row r="45" ht="15.75" customHeight="1">
      <c r="A45" s="40"/>
      <c r="B45" s="141"/>
      <c r="J45" s="47"/>
      <c r="K45" s="145"/>
      <c r="L45" s="143" t="b">
        <v>0</v>
      </c>
      <c r="M45" s="146"/>
      <c r="N45" s="142"/>
      <c r="O45" s="144"/>
      <c r="P45" s="40"/>
    </row>
    <row r="46" ht="15.75" customHeight="1">
      <c r="A46" s="40"/>
      <c r="B46" s="141"/>
      <c r="J46" s="47"/>
      <c r="K46" s="145"/>
      <c r="L46" s="143" t="b">
        <v>0</v>
      </c>
      <c r="M46" s="146"/>
      <c r="N46" s="142"/>
      <c r="O46" s="144"/>
      <c r="P46" s="40"/>
    </row>
    <row r="47" ht="15.75" customHeight="1">
      <c r="A47" s="40"/>
      <c r="B47" s="89"/>
      <c r="C47" s="16"/>
      <c r="D47" s="16"/>
      <c r="E47" s="16"/>
      <c r="F47" s="16"/>
      <c r="G47" s="16"/>
      <c r="H47" s="16"/>
      <c r="I47" s="16"/>
      <c r="J47" s="90"/>
      <c r="K47" s="91"/>
      <c r="L47" s="92" t="b">
        <v>0</v>
      </c>
      <c r="M47" s="93"/>
      <c r="N47" s="94"/>
      <c r="O47" s="95"/>
      <c r="P47" s="40"/>
    </row>
    <row r="48" ht="15.75" customHeight="1">
      <c r="A48" s="40"/>
      <c r="B48" s="96"/>
      <c r="C48" s="1"/>
      <c r="D48" s="1"/>
      <c r="E48" s="1"/>
      <c r="F48" s="1"/>
      <c r="G48" s="1"/>
      <c r="H48" s="1"/>
      <c r="I48" s="1"/>
      <c r="J48" s="101" t="s">
        <v>77</v>
      </c>
      <c r="K48" s="102"/>
      <c r="L48" s="1"/>
      <c r="M48" s="1"/>
      <c r="N48" s="97"/>
      <c r="O48" s="97"/>
      <c r="P48" s="40"/>
    </row>
    <row r="49" ht="15.75" customHeight="1">
      <c r="A49" s="40"/>
      <c r="B49" s="1"/>
      <c r="C49" s="1"/>
      <c r="D49" s="1"/>
      <c r="E49" s="1"/>
      <c r="F49" s="1"/>
      <c r="G49" s="1"/>
      <c r="H49" s="1"/>
      <c r="I49" s="100"/>
      <c r="J49" s="108" t="s">
        <v>63</v>
      </c>
      <c r="K49" s="109"/>
      <c r="L49" s="110"/>
      <c r="M49" s="111" t="s">
        <v>64</v>
      </c>
      <c r="N49" s="109"/>
      <c r="O49" s="102"/>
      <c r="P49" s="40"/>
    </row>
    <row r="50" ht="15.75" customHeight="1">
      <c r="A50" s="40"/>
      <c r="B50" s="98" t="s">
        <v>58</v>
      </c>
      <c r="C50" s="99"/>
      <c r="D50" s="99"/>
      <c r="E50" s="99"/>
      <c r="F50" s="99"/>
      <c r="G50" s="99"/>
      <c r="H50" s="99"/>
      <c r="I50" s="100"/>
      <c r="J50" s="117" t="str">
        <f t="array" ref="J50">GPA({K30:K47,M30:M47,O30:O47},1,2)</f>
        <v>Loading...</v>
      </c>
      <c r="K50" s="118"/>
      <c r="L50" s="110"/>
      <c r="M50" s="119" t="str">
        <f t="array" ref="M50">CREDITSSUM({K30:K47,M30:M47},1,2)</f>
        <v>Loading...</v>
      </c>
      <c r="N50" s="118"/>
      <c r="O50" s="120"/>
      <c r="P50" s="40"/>
    </row>
    <row r="51" ht="15.75" customHeight="1">
      <c r="A51" s="40"/>
      <c r="B51" s="103" t="s">
        <v>60</v>
      </c>
      <c r="C51" s="104" t="s">
        <v>61</v>
      </c>
      <c r="D51" s="105"/>
      <c r="E51" s="106"/>
      <c r="F51" s="104" t="s">
        <v>62</v>
      </c>
      <c r="G51" s="105"/>
      <c r="H51" s="107"/>
      <c r="I51" s="110"/>
      <c r="J51" s="1"/>
      <c r="K51" s="1"/>
      <c r="L51" s="1"/>
      <c r="M51" s="1"/>
      <c r="N51" s="1"/>
      <c r="O51" s="1"/>
      <c r="P51" s="40"/>
    </row>
    <row r="52" ht="15.75" customHeight="1">
      <c r="A52" s="40"/>
      <c r="B52" s="112"/>
      <c r="C52" s="113" t="s">
        <v>65</v>
      </c>
      <c r="D52" s="114" t="s">
        <v>66</v>
      </c>
      <c r="E52" s="115" t="s">
        <v>67</v>
      </c>
      <c r="F52" s="113" t="s">
        <v>65</v>
      </c>
      <c r="G52" s="114" t="s">
        <v>66</v>
      </c>
      <c r="H52" s="116" t="s">
        <v>67</v>
      </c>
      <c r="I52" s="110"/>
      <c r="J52" s="1"/>
      <c r="K52" s="1"/>
      <c r="L52" s="1"/>
      <c r="M52" s="1"/>
      <c r="N52" s="1"/>
      <c r="O52" s="1"/>
      <c r="P52" s="40"/>
    </row>
    <row r="53" ht="15.75" customHeight="1">
      <c r="A53" s="40"/>
      <c r="B53" s="132" t="s">
        <v>68</v>
      </c>
      <c r="C53" s="122"/>
      <c r="D53" s="84"/>
      <c r="E53" s="123"/>
      <c r="F53" s="86"/>
      <c r="G53" s="84"/>
      <c r="H53" s="124"/>
      <c r="I53" s="110"/>
      <c r="J53" s="101" t="s">
        <v>59</v>
      </c>
      <c r="K53" s="102"/>
      <c r="L53" s="1"/>
      <c r="M53" s="1"/>
      <c r="N53" s="97"/>
      <c r="O53" s="97"/>
      <c r="P53" s="40"/>
    </row>
    <row r="54" ht="15.75" customHeight="1">
      <c r="A54" s="40"/>
      <c r="B54" s="132" t="s">
        <v>69</v>
      </c>
      <c r="C54" s="122"/>
      <c r="D54" s="84"/>
      <c r="E54" s="123"/>
      <c r="F54" s="86"/>
      <c r="G54" s="84"/>
      <c r="H54" s="124"/>
      <c r="I54" s="110"/>
      <c r="J54" s="108" t="s">
        <v>63</v>
      </c>
      <c r="K54" s="109"/>
      <c r="L54" s="110"/>
      <c r="M54" s="111" t="s">
        <v>64</v>
      </c>
      <c r="N54" s="109"/>
      <c r="O54" s="102"/>
      <c r="P54" s="40"/>
    </row>
    <row r="55" ht="15.75" customHeight="1">
      <c r="A55" s="40"/>
      <c r="B55" s="121" t="s">
        <v>70</v>
      </c>
      <c r="C55" s="122"/>
      <c r="D55" s="84"/>
      <c r="E55" s="123"/>
      <c r="F55" s="86"/>
      <c r="G55" s="84"/>
      <c r="H55" s="124"/>
      <c r="I55" s="110"/>
      <c r="J55" s="117" t="str">
        <f t="array" ref="J55">GPA({K8:K25,M8:M25,O8:O25;K30:K47,M30:M47,O30:O47},1,2)</f>
        <v>Loading...</v>
      </c>
      <c r="K55" s="118"/>
      <c r="L55" s="110"/>
      <c r="M55" s="119" t="str">
        <f t="array" ref="M55">CREDITSSUM({K8:K25,M8:M25;K30:K47,M30:M47},1,2)</f>
        <v>Loading...</v>
      </c>
      <c r="N55" s="118"/>
      <c r="O55" s="120"/>
      <c r="P55" s="40"/>
    </row>
    <row r="56" ht="15.75" customHeight="1">
      <c r="A56" s="40"/>
      <c r="B56" s="125" t="s">
        <v>71</v>
      </c>
      <c r="C56" s="126"/>
      <c r="D56" s="127"/>
      <c r="E56" s="128"/>
      <c r="F56" s="129"/>
      <c r="G56" s="127"/>
      <c r="H56" s="130"/>
      <c r="I56" s="97"/>
      <c r="J56" s="97"/>
      <c r="K56" s="97"/>
      <c r="L56" s="131"/>
      <c r="M56" s="97"/>
      <c r="N56" s="97"/>
      <c r="O56" s="97"/>
      <c r="P56" s="40"/>
    </row>
    <row r="57" ht="15.75" customHeight="1">
      <c r="A57" s="40"/>
      <c r="B57" s="96"/>
      <c r="C57" s="97"/>
      <c r="D57" s="97"/>
      <c r="E57" s="97"/>
      <c r="F57" s="97"/>
      <c r="G57" s="97"/>
      <c r="H57" s="97"/>
      <c r="I57" s="97"/>
      <c r="J57" s="97"/>
      <c r="K57" s="97"/>
      <c r="L57" s="131"/>
      <c r="M57" s="97"/>
      <c r="N57" s="97"/>
      <c r="O57" s="97"/>
      <c r="P57" s="40"/>
    </row>
    <row r="58" ht="15.75" customHeight="1">
      <c r="A58" s="40"/>
      <c r="B58" s="96"/>
      <c r="C58" s="97"/>
      <c r="D58" s="97"/>
      <c r="E58" s="97"/>
      <c r="F58" s="97"/>
      <c r="G58" s="97"/>
      <c r="H58" s="97"/>
      <c r="I58" s="97"/>
      <c r="J58" s="97"/>
      <c r="K58" s="97"/>
      <c r="L58" s="131"/>
      <c r="M58" s="97"/>
      <c r="N58" s="97"/>
      <c r="O58" s="97"/>
      <c r="P58" s="40"/>
    </row>
  </sheetData>
  <mergeCells count="74">
    <mergeCell ref="B36:J36"/>
    <mergeCell ref="B37:J37"/>
    <mergeCell ref="B38:J38"/>
    <mergeCell ref="B39:J39"/>
    <mergeCell ref="B40:J40"/>
    <mergeCell ref="B41:J41"/>
    <mergeCell ref="B42:J42"/>
    <mergeCell ref="J49:K49"/>
    <mergeCell ref="J50:K50"/>
    <mergeCell ref="M50:O50"/>
    <mergeCell ref="B51:B52"/>
    <mergeCell ref="C51:E51"/>
    <mergeCell ref="F51:H51"/>
    <mergeCell ref="J53:K53"/>
    <mergeCell ref="J54:K54"/>
    <mergeCell ref="M54:O54"/>
    <mergeCell ref="J55:K55"/>
    <mergeCell ref="M55:O55"/>
    <mergeCell ref="B43:J43"/>
    <mergeCell ref="B44:J44"/>
    <mergeCell ref="B45:J45"/>
    <mergeCell ref="B46:J46"/>
    <mergeCell ref="B47:J47"/>
    <mergeCell ref="J48:K48"/>
    <mergeCell ref="M49:O49"/>
    <mergeCell ref="C1:H1"/>
    <mergeCell ref="I1:O1"/>
    <mergeCell ref="C2:E2"/>
    <mergeCell ref="F2:H2"/>
    <mergeCell ref="I2:J2"/>
    <mergeCell ref="K2:O2"/>
    <mergeCell ref="C3:E3"/>
    <mergeCell ref="K3:O3"/>
    <mergeCell ref="F3:H3"/>
    <mergeCell ref="I3:J3"/>
    <mergeCell ref="C4:E4"/>
    <mergeCell ref="F4:H4"/>
    <mergeCell ref="I4:J4"/>
    <mergeCell ref="K4:O4"/>
    <mergeCell ref="C5:E6"/>
    <mergeCell ref="K5:O6"/>
    <mergeCell ref="F5:H6"/>
    <mergeCell ref="I5:J6"/>
    <mergeCell ref="B7:J7"/>
    <mergeCell ref="B8:J8"/>
    <mergeCell ref="B9:J9"/>
    <mergeCell ref="B10:J10"/>
    <mergeCell ref="B11:J11"/>
    <mergeCell ref="B12:J12"/>
    <mergeCell ref="B13:J13"/>
    <mergeCell ref="B14:J14"/>
    <mergeCell ref="B15:J15"/>
    <mergeCell ref="B16:J16"/>
    <mergeCell ref="B17:J17"/>
    <mergeCell ref="B18:J18"/>
    <mergeCell ref="J26:K26"/>
    <mergeCell ref="J27:K27"/>
    <mergeCell ref="M27:O27"/>
    <mergeCell ref="J28:K28"/>
    <mergeCell ref="M28:O28"/>
    <mergeCell ref="B19:J19"/>
    <mergeCell ref="B20:J20"/>
    <mergeCell ref="B21:J21"/>
    <mergeCell ref="B22:J22"/>
    <mergeCell ref="B23:J23"/>
    <mergeCell ref="B24:J24"/>
    <mergeCell ref="B25:J25"/>
    <mergeCell ref="B29:J29"/>
    <mergeCell ref="B30:J30"/>
    <mergeCell ref="B31:J31"/>
    <mergeCell ref="B32:J32"/>
    <mergeCell ref="B33:J33"/>
    <mergeCell ref="B34:J34"/>
    <mergeCell ref="B35:J35"/>
  </mergeCells>
  <dataValidations>
    <dataValidation type="custom" allowBlank="1" showDropDown="1" showInputMessage="1" showErrorMessage="1" prompt="Enter a number" sqref="K8:K16 O8:O25 K30:K39 O30:O47">
      <formula1>ISNUMBER(K8)</formula1>
    </dataValidation>
    <dataValidation type="list" allowBlank="1" showInputMessage="1" showErrorMessage="1" prompt="Click and enter a valid scale from the list of items. The valid scales are Letter, 0-100, 0-4, and None" sqref="B3">
      <formula1>"Letter,0-4,0-100,None"</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8.88"/>
    <col customWidth="1" min="3" max="8" width="6.38"/>
    <col customWidth="1" hidden="1" min="9" max="9" width="18.88"/>
    <col customWidth="1" min="10" max="10" width="18.88"/>
    <col customWidth="1" min="11" max="11" width="6.38"/>
    <col customWidth="1" hidden="1" min="12" max="12" width="18.88"/>
    <col customWidth="1" min="13" max="13" width="6.38"/>
    <col customWidth="1" hidden="1" min="14" max="14" width="6.38"/>
    <col customWidth="1" min="15" max="15" width="6.38"/>
  </cols>
  <sheetData>
    <row r="1" ht="31.5" customHeight="1">
      <c r="A1" s="58"/>
      <c r="B1" s="1"/>
      <c r="C1" s="71" t="s">
        <v>5</v>
      </c>
      <c r="I1" s="58" t="s">
        <v>6</v>
      </c>
      <c r="P1" s="72"/>
    </row>
    <row r="2" ht="15.75" customHeight="1">
      <c r="A2" s="73"/>
      <c r="B2" s="74" t="s">
        <v>50</v>
      </c>
      <c r="C2" s="59" t="s">
        <v>8</v>
      </c>
      <c r="F2" s="60" t="str">
        <f>'Getting Started'!$G$10</f>
        <v/>
      </c>
      <c r="I2" s="59" t="s">
        <v>9</v>
      </c>
      <c r="K2" s="60" t="str">
        <f>'Getting Started'!$I$10</f>
        <v/>
      </c>
      <c r="P2" s="40"/>
    </row>
    <row r="3" ht="15.75" customHeight="1">
      <c r="A3" s="73"/>
      <c r="B3" s="75" t="s">
        <v>51</v>
      </c>
      <c r="C3" s="59" t="s">
        <v>11</v>
      </c>
      <c r="F3" s="61" t="str">
        <f>'Getting Started'!$G$11</f>
        <v/>
      </c>
      <c r="I3" s="59" t="s">
        <v>12</v>
      </c>
      <c r="K3" s="60" t="str">
        <f>'Getting Started'!$I$11</f>
        <v/>
      </c>
      <c r="P3" s="40"/>
    </row>
    <row r="4" ht="31.5" customHeight="1">
      <c r="A4" s="73"/>
      <c r="B4" s="1"/>
      <c r="C4" s="59" t="s">
        <v>13</v>
      </c>
      <c r="F4" s="60" t="str">
        <f>'Getting Started'!$G$12</f>
        <v/>
      </c>
      <c r="I4" s="59" t="s">
        <v>14</v>
      </c>
      <c r="K4" s="60" t="str">
        <f>'Getting Started'!$I$12</f>
        <v/>
      </c>
      <c r="P4" s="40"/>
    </row>
    <row r="5" ht="15.75" customHeight="1">
      <c r="A5" s="73"/>
      <c r="B5" s="1"/>
      <c r="C5" s="59" t="s">
        <v>15</v>
      </c>
      <c r="F5" s="62" t="str">
        <f>'Getting Started'!$G$14</f>
        <v/>
      </c>
      <c r="I5" s="59" t="s">
        <v>16</v>
      </c>
      <c r="K5" s="60" t="str">
        <f>'Getting Started'!$I$14</f>
        <v/>
      </c>
      <c r="P5" s="40"/>
    </row>
    <row r="6" ht="15.75" customHeight="1">
      <c r="A6" s="73"/>
      <c r="B6" s="19" t="s">
        <v>74</v>
      </c>
      <c r="P6" s="40"/>
    </row>
    <row r="7" ht="31.5" customHeight="1">
      <c r="A7" s="40"/>
      <c r="B7" s="76" t="s">
        <v>53</v>
      </c>
      <c r="C7" s="8"/>
      <c r="D7" s="8"/>
      <c r="E7" s="8"/>
      <c r="F7" s="8"/>
      <c r="G7" s="8"/>
      <c r="H7" s="8"/>
      <c r="I7" s="8"/>
      <c r="J7" s="77"/>
      <c r="K7" s="78" t="s">
        <v>54</v>
      </c>
      <c r="L7" s="79" t="s">
        <v>55</v>
      </c>
      <c r="M7" s="80" t="s">
        <v>56</v>
      </c>
      <c r="N7" s="81"/>
      <c r="O7" s="82" t="s">
        <v>57</v>
      </c>
      <c r="P7" s="1"/>
    </row>
    <row r="8" ht="15.75" customHeight="1">
      <c r="A8" s="40"/>
      <c r="B8" s="83"/>
      <c r="J8" s="47"/>
      <c r="K8" s="84"/>
      <c r="L8" s="85"/>
      <c r="M8" s="86"/>
      <c r="N8" s="87"/>
      <c r="O8" s="88"/>
      <c r="P8" s="1"/>
    </row>
    <row r="9" ht="15.75" customHeight="1">
      <c r="A9" s="40"/>
      <c r="B9" s="141"/>
      <c r="J9" s="47"/>
      <c r="K9" s="84"/>
      <c r="L9" s="85" t="b">
        <v>0</v>
      </c>
      <c r="M9" s="86"/>
      <c r="N9" s="142"/>
      <c r="O9" s="88"/>
      <c r="P9" s="40"/>
    </row>
    <row r="10" ht="15.75" customHeight="1">
      <c r="A10" s="40"/>
      <c r="B10" s="141"/>
      <c r="J10" s="47"/>
      <c r="K10" s="84"/>
      <c r="L10" s="143" t="b">
        <v>0</v>
      </c>
      <c r="M10" s="86"/>
      <c r="N10" s="142"/>
      <c r="O10" s="144"/>
      <c r="P10" s="40"/>
    </row>
    <row r="11" ht="15.75" customHeight="1">
      <c r="A11" s="40"/>
      <c r="B11" s="141"/>
      <c r="J11" s="47"/>
      <c r="K11" s="145"/>
      <c r="L11" s="143" t="b">
        <v>0</v>
      </c>
      <c r="M11" s="146"/>
      <c r="N11" s="142"/>
      <c r="O11" s="144"/>
      <c r="P11" s="40"/>
    </row>
    <row r="12" ht="15.75" customHeight="1">
      <c r="A12" s="40"/>
      <c r="B12" s="141"/>
      <c r="J12" s="47"/>
      <c r="K12" s="145"/>
      <c r="L12" s="85" t="b">
        <v>0</v>
      </c>
      <c r="M12" s="146"/>
      <c r="N12" s="142"/>
      <c r="O12" s="144"/>
      <c r="P12" s="40"/>
    </row>
    <row r="13" ht="15.75" customHeight="1">
      <c r="A13" s="40"/>
      <c r="B13" s="141"/>
      <c r="J13" s="47"/>
      <c r="K13" s="145"/>
      <c r="L13" s="85" t="b">
        <v>0</v>
      </c>
      <c r="M13" s="146"/>
      <c r="N13" s="142"/>
      <c r="O13" s="144"/>
      <c r="P13" s="40"/>
    </row>
    <row r="14" ht="15.75" customHeight="1">
      <c r="A14" s="40"/>
      <c r="B14" s="141"/>
      <c r="J14" s="47"/>
      <c r="K14" s="145"/>
      <c r="L14" s="85" t="b">
        <v>0</v>
      </c>
      <c r="M14" s="146"/>
      <c r="N14" s="142"/>
      <c r="O14" s="144"/>
      <c r="P14" s="40"/>
    </row>
    <row r="15" ht="15.75" customHeight="1">
      <c r="A15" s="40"/>
      <c r="B15" s="141"/>
      <c r="J15" s="47"/>
      <c r="K15" s="145"/>
      <c r="L15" s="143" t="b">
        <v>0</v>
      </c>
      <c r="M15" s="146"/>
      <c r="N15" s="142"/>
      <c r="O15" s="144"/>
      <c r="P15" s="40"/>
    </row>
    <row r="16" ht="15.75" customHeight="1">
      <c r="A16" s="40"/>
      <c r="B16" s="141"/>
      <c r="J16" s="47"/>
      <c r="K16" s="145"/>
      <c r="L16" s="143" t="b">
        <v>0</v>
      </c>
      <c r="M16" s="146"/>
      <c r="N16" s="142"/>
      <c r="O16" s="144"/>
      <c r="P16" s="40"/>
    </row>
    <row r="17" ht="15.75" customHeight="1">
      <c r="A17" s="40"/>
      <c r="B17" s="141"/>
      <c r="J17" s="47"/>
      <c r="K17" s="145"/>
      <c r="L17" s="143" t="b">
        <v>0</v>
      </c>
      <c r="M17" s="146"/>
      <c r="N17" s="142"/>
      <c r="O17" s="144"/>
      <c r="P17" s="40"/>
    </row>
    <row r="18" ht="15.75" customHeight="1">
      <c r="A18" s="40"/>
      <c r="B18" s="141"/>
      <c r="J18" s="47"/>
      <c r="K18" s="145"/>
      <c r="L18" s="143" t="b">
        <v>0</v>
      </c>
      <c r="M18" s="146"/>
      <c r="N18" s="142"/>
      <c r="O18" s="144"/>
      <c r="P18" s="40"/>
    </row>
    <row r="19" ht="15.75" customHeight="1">
      <c r="A19" s="40"/>
      <c r="B19" s="141"/>
      <c r="J19" s="47"/>
      <c r="K19" s="145"/>
      <c r="L19" s="143" t="b">
        <v>0</v>
      </c>
      <c r="M19" s="146"/>
      <c r="N19" s="142"/>
      <c r="O19" s="144"/>
      <c r="P19" s="40"/>
    </row>
    <row r="20" ht="15.75" customHeight="1">
      <c r="A20" s="40"/>
      <c r="B20" s="141"/>
      <c r="J20" s="47"/>
      <c r="K20" s="145"/>
      <c r="L20" s="143" t="b">
        <v>0</v>
      </c>
      <c r="M20" s="146"/>
      <c r="N20" s="142"/>
      <c r="O20" s="144"/>
      <c r="P20" s="40"/>
    </row>
    <row r="21" ht="15.75" customHeight="1">
      <c r="A21" s="40"/>
      <c r="B21" s="141"/>
      <c r="J21" s="47"/>
      <c r="K21" s="145"/>
      <c r="L21" s="143" t="b">
        <v>0</v>
      </c>
      <c r="M21" s="146"/>
      <c r="N21" s="142"/>
      <c r="O21" s="144"/>
      <c r="P21" s="40"/>
    </row>
    <row r="22" ht="15.75" customHeight="1">
      <c r="A22" s="40"/>
      <c r="B22" s="141"/>
      <c r="J22" s="47"/>
      <c r="K22" s="145"/>
      <c r="L22" s="143" t="b">
        <v>0</v>
      </c>
      <c r="M22" s="146"/>
      <c r="N22" s="142"/>
      <c r="O22" s="144"/>
      <c r="P22" s="40"/>
    </row>
    <row r="23" ht="15.75" customHeight="1">
      <c r="A23" s="40"/>
      <c r="B23" s="141"/>
      <c r="J23" s="47"/>
      <c r="K23" s="145"/>
      <c r="L23" s="143" t="b">
        <v>0</v>
      </c>
      <c r="M23" s="146"/>
      <c r="N23" s="142"/>
      <c r="O23" s="144"/>
      <c r="P23" s="40"/>
    </row>
    <row r="24" ht="15.75" customHeight="1">
      <c r="A24" s="40"/>
      <c r="B24" s="141"/>
      <c r="J24" s="47"/>
      <c r="K24" s="145"/>
      <c r="L24" s="143" t="b">
        <v>0</v>
      </c>
      <c r="M24" s="146"/>
      <c r="N24" s="142"/>
      <c r="O24" s="144"/>
      <c r="P24" s="40"/>
    </row>
    <row r="25" ht="15.75" customHeight="1">
      <c r="A25" s="40"/>
      <c r="B25" s="89"/>
      <c r="C25" s="16"/>
      <c r="D25" s="16"/>
      <c r="E25" s="16"/>
      <c r="F25" s="16"/>
      <c r="G25" s="16"/>
      <c r="H25" s="16"/>
      <c r="I25" s="16"/>
      <c r="J25" s="90"/>
      <c r="K25" s="91"/>
      <c r="L25" s="92" t="b">
        <v>0</v>
      </c>
      <c r="M25" s="93"/>
      <c r="N25" s="94"/>
      <c r="O25" s="95"/>
      <c r="P25" s="40"/>
    </row>
    <row r="26" ht="15.75" customHeight="1">
      <c r="A26" s="40"/>
      <c r="B26" s="96"/>
      <c r="C26" s="1"/>
      <c r="D26" s="1"/>
      <c r="E26" s="1"/>
      <c r="F26" s="1"/>
      <c r="G26" s="1"/>
      <c r="H26" s="1"/>
      <c r="I26" s="1"/>
      <c r="J26" s="101" t="s">
        <v>75</v>
      </c>
      <c r="K26" s="102"/>
      <c r="L26" s="1"/>
      <c r="M26" s="1"/>
      <c r="N26" s="97"/>
      <c r="O26" s="97"/>
      <c r="P26" s="40"/>
    </row>
    <row r="27" ht="15.75" customHeight="1">
      <c r="A27" s="40"/>
      <c r="B27" s="96"/>
      <c r="C27" s="100"/>
      <c r="D27" s="100"/>
      <c r="E27" s="100"/>
      <c r="F27" s="100"/>
      <c r="G27" s="100"/>
      <c r="H27" s="100"/>
      <c r="I27" s="100"/>
      <c r="J27" s="108" t="s">
        <v>63</v>
      </c>
      <c r="K27" s="109"/>
      <c r="L27" s="110"/>
      <c r="M27" s="111" t="s">
        <v>64</v>
      </c>
      <c r="N27" s="109"/>
      <c r="O27" s="102"/>
      <c r="P27" s="40"/>
    </row>
    <row r="28" ht="15.75" customHeight="1">
      <c r="A28" s="40"/>
      <c r="B28" s="19" t="s">
        <v>76</v>
      </c>
      <c r="C28" s="100"/>
      <c r="D28" s="100"/>
      <c r="E28" s="100"/>
      <c r="F28" s="100"/>
      <c r="G28" s="100"/>
      <c r="H28" s="100"/>
      <c r="I28" s="100"/>
      <c r="J28" s="117" t="str">
        <f t="array" ref="J28">GPA({K8:K25,M8:M25,O8:O25},1,2)</f>
        <v>Loading...</v>
      </c>
      <c r="K28" s="118"/>
      <c r="L28" s="110"/>
      <c r="M28" s="119" t="str">
        <f t="array" ref="M28">CREDITSSUM({K8:K25,M8:M25},1,2)</f>
        <v>Loading...</v>
      </c>
      <c r="N28" s="118"/>
      <c r="O28" s="120"/>
      <c r="P28" s="40"/>
    </row>
    <row r="29" ht="31.5" customHeight="1">
      <c r="A29" s="40"/>
      <c r="B29" s="76" t="s">
        <v>53</v>
      </c>
      <c r="C29" s="8"/>
      <c r="D29" s="8"/>
      <c r="E29" s="8"/>
      <c r="F29" s="8"/>
      <c r="G29" s="8"/>
      <c r="H29" s="8"/>
      <c r="I29" s="8"/>
      <c r="J29" s="77"/>
      <c r="K29" s="78" t="s">
        <v>54</v>
      </c>
      <c r="L29" s="79" t="s">
        <v>55</v>
      </c>
      <c r="M29" s="80" t="s">
        <v>56</v>
      </c>
      <c r="N29" s="81"/>
      <c r="O29" s="82" t="s">
        <v>57</v>
      </c>
      <c r="P29" s="1"/>
    </row>
    <row r="30" ht="15.75" customHeight="1">
      <c r="A30" s="40"/>
      <c r="B30" s="83"/>
      <c r="J30" s="47"/>
      <c r="K30" s="84"/>
      <c r="L30" s="85"/>
      <c r="M30" s="86"/>
      <c r="N30" s="87"/>
      <c r="O30" s="88"/>
      <c r="P30" s="1"/>
    </row>
    <row r="31" ht="15.75" customHeight="1">
      <c r="A31" s="40"/>
      <c r="B31" s="141"/>
      <c r="J31" s="47"/>
      <c r="K31" s="84"/>
      <c r="L31" s="85" t="b">
        <v>0</v>
      </c>
      <c r="M31" s="86"/>
      <c r="N31" s="142"/>
      <c r="O31" s="88"/>
      <c r="P31" s="40"/>
    </row>
    <row r="32" ht="15.75" customHeight="1">
      <c r="A32" s="40"/>
      <c r="B32" s="141"/>
      <c r="J32" s="47"/>
      <c r="K32" s="84"/>
      <c r="L32" s="143" t="b">
        <v>0</v>
      </c>
      <c r="M32" s="86"/>
      <c r="N32" s="142"/>
      <c r="O32" s="144"/>
      <c r="P32" s="40"/>
    </row>
    <row r="33" ht="15.75" customHeight="1">
      <c r="A33" s="40"/>
      <c r="B33" s="141"/>
      <c r="J33" s="47"/>
      <c r="K33" s="145"/>
      <c r="L33" s="143" t="b">
        <v>0</v>
      </c>
      <c r="M33" s="146"/>
      <c r="N33" s="142"/>
      <c r="O33" s="144"/>
      <c r="P33" s="40"/>
    </row>
    <row r="34" ht="15.75" customHeight="1">
      <c r="A34" s="40"/>
      <c r="B34" s="141"/>
      <c r="J34" s="47"/>
      <c r="K34" s="145"/>
      <c r="L34" s="85" t="b">
        <v>0</v>
      </c>
      <c r="M34" s="146"/>
      <c r="N34" s="142"/>
      <c r="O34" s="144"/>
      <c r="P34" s="40"/>
    </row>
    <row r="35" ht="15.75" customHeight="1">
      <c r="A35" s="40"/>
      <c r="B35" s="141"/>
      <c r="J35" s="47"/>
      <c r="K35" s="145"/>
      <c r="L35" s="85" t="b">
        <v>0</v>
      </c>
      <c r="M35" s="146"/>
      <c r="N35" s="142"/>
      <c r="O35" s="144"/>
      <c r="P35" s="40"/>
    </row>
    <row r="36" ht="15.75" customHeight="1">
      <c r="A36" s="40"/>
      <c r="B36" s="141"/>
      <c r="J36" s="47"/>
      <c r="K36" s="145"/>
      <c r="L36" s="85" t="b">
        <v>0</v>
      </c>
      <c r="M36" s="146"/>
      <c r="N36" s="142"/>
      <c r="O36" s="144"/>
      <c r="P36" s="40"/>
    </row>
    <row r="37" ht="15.75" customHeight="1">
      <c r="A37" s="40"/>
      <c r="B37" s="141"/>
      <c r="J37" s="47"/>
      <c r="K37" s="146"/>
      <c r="L37" s="85" t="b">
        <v>0</v>
      </c>
      <c r="M37" s="146"/>
      <c r="N37" s="142"/>
      <c r="O37" s="144"/>
      <c r="P37" s="40"/>
    </row>
    <row r="38" ht="15.75" customHeight="1">
      <c r="A38" s="40"/>
      <c r="B38" s="141"/>
      <c r="J38" s="47"/>
      <c r="K38" s="145"/>
      <c r="L38" s="143" t="b">
        <v>0</v>
      </c>
      <c r="M38" s="146"/>
      <c r="N38" s="142"/>
      <c r="O38" s="144"/>
      <c r="P38" s="40"/>
    </row>
    <row r="39" ht="15.75" customHeight="1">
      <c r="A39" s="40"/>
      <c r="B39" s="141"/>
      <c r="J39" s="47"/>
      <c r="K39" s="145"/>
      <c r="L39" s="143" t="b">
        <v>0</v>
      </c>
      <c r="M39" s="146"/>
      <c r="N39" s="142"/>
      <c r="O39" s="144"/>
      <c r="P39" s="40"/>
    </row>
    <row r="40" ht="15.75" customHeight="1">
      <c r="A40" s="40"/>
      <c r="B40" s="141"/>
      <c r="J40" s="47"/>
      <c r="K40" s="145"/>
      <c r="L40" s="143" t="b">
        <v>0</v>
      </c>
      <c r="M40" s="146"/>
      <c r="N40" s="142"/>
      <c r="O40" s="144"/>
      <c r="P40" s="40"/>
    </row>
    <row r="41" ht="15.75" customHeight="1">
      <c r="A41" s="40"/>
      <c r="B41" s="141"/>
      <c r="J41" s="47"/>
      <c r="K41" s="145"/>
      <c r="L41" s="143" t="b">
        <v>0</v>
      </c>
      <c r="M41" s="146"/>
      <c r="N41" s="142"/>
      <c r="O41" s="144"/>
      <c r="P41" s="40"/>
    </row>
    <row r="42" ht="15.75" customHeight="1">
      <c r="A42" s="40"/>
      <c r="B42" s="141"/>
      <c r="J42" s="47"/>
      <c r="K42" s="145"/>
      <c r="L42" s="143" t="b">
        <v>0</v>
      </c>
      <c r="M42" s="146"/>
      <c r="N42" s="142"/>
      <c r="O42" s="144"/>
      <c r="P42" s="40"/>
    </row>
    <row r="43" ht="15.75" customHeight="1">
      <c r="A43" s="40"/>
      <c r="B43" s="141"/>
      <c r="J43" s="47"/>
      <c r="K43" s="145"/>
      <c r="L43" s="143" t="b">
        <v>0</v>
      </c>
      <c r="M43" s="146"/>
      <c r="N43" s="142"/>
      <c r="O43" s="144"/>
      <c r="P43" s="40"/>
    </row>
    <row r="44" ht="15.75" customHeight="1">
      <c r="A44" s="40"/>
      <c r="B44" s="141"/>
      <c r="J44" s="47"/>
      <c r="K44" s="145"/>
      <c r="L44" s="143" t="b">
        <v>0</v>
      </c>
      <c r="M44" s="146"/>
      <c r="N44" s="142"/>
      <c r="O44" s="144"/>
      <c r="P44" s="40"/>
    </row>
    <row r="45" ht="15.75" customHeight="1">
      <c r="A45" s="40"/>
      <c r="B45" s="141"/>
      <c r="J45" s="47"/>
      <c r="K45" s="145"/>
      <c r="L45" s="143" t="b">
        <v>0</v>
      </c>
      <c r="M45" s="146"/>
      <c r="N45" s="142"/>
      <c r="O45" s="144"/>
      <c r="P45" s="40"/>
    </row>
    <row r="46" ht="15.75" customHeight="1">
      <c r="A46" s="40"/>
      <c r="B46" s="141"/>
      <c r="J46" s="47"/>
      <c r="K46" s="145"/>
      <c r="L46" s="143" t="b">
        <v>0</v>
      </c>
      <c r="M46" s="146"/>
      <c r="N46" s="142"/>
      <c r="O46" s="144"/>
      <c r="P46" s="40"/>
    </row>
    <row r="47" ht="15.75" customHeight="1">
      <c r="A47" s="40"/>
      <c r="B47" s="89"/>
      <c r="C47" s="16"/>
      <c r="D47" s="16"/>
      <c r="E47" s="16"/>
      <c r="F47" s="16"/>
      <c r="G47" s="16"/>
      <c r="H47" s="16"/>
      <c r="I47" s="16"/>
      <c r="J47" s="90"/>
      <c r="K47" s="91"/>
      <c r="L47" s="92" t="b">
        <v>0</v>
      </c>
      <c r="M47" s="93"/>
      <c r="N47" s="94"/>
      <c r="O47" s="95"/>
      <c r="P47" s="40"/>
    </row>
    <row r="48" ht="15.75" customHeight="1">
      <c r="A48" s="40"/>
      <c r="B48" s="96"/>
      <c r="C48" s="1"/>
      <c r="D48" s="1"/>
      <c r="E48" s="1"/>
      <c r="F48" s="1"/>
      <c r="G48" s="1"/>
      <c r="H48" s="1"/>
      <c r="I48" s="1"/>
      <c r="J48" s="101" t="s">
        <v>77</v>
      </c>
      <c r="K48" s="102"/>
      <c r="L48" s="1"/>
      <c r="M48" s="1"/>
      <c r="N48" s="97"/>
      <c r="O48" s="97"/>
      <c r="P48" s="40"/>
    </row>
    <row r="49" ht="15.75" customHeight="1">
      <c r="A49" s="40"/>
      <c r="B49" s="1"/>
      <c r="C49" s="1"/>
      <c r="D49" s="1"/>
      <c r="E49" s="1"/>
      <c r="F49" s="1"/>
      <c r="G49" s="1"/>
      <c r="H49" s="1"/>
      <c r="I49" s="100"/>
      <c r="J49" s="108" t="s">
        <v>63</v>
      </c>
      <c r="K49" s="109"/>
      <c r="L49" s="110"/>
      <c r="M49" s="111" t="s">
        <v>64</v>
      </c>
      <c r="N49" s="109"/>
      <c r="O49" s="102"/>
      <c r="P49" s="40"/>
    </row>
    <row r="50" ht="15.75" customHeight="1">
      <c r="A50" s="40"/>
      <c r="B50" s="98" t="s">
        <v>58</v>
      </c>
      <c r="C50" s="99"/>
      <c r="D50" s="99"/>
      <c r="E50" s="99"/>
      <c r="F50" s="99"/>
      <c r="G50" s="99"/>
      <c r="H50" s="99"/>
      <c r="I50" s="100"/>
      <c r="J50" s="117" t="str">
        <f t="array" ref="J50">GPA({K30:K47,M30:M47,O30:O47},1,2)</f>
        <v>Loading...</v>
      </c>
      <c r="K50" s="118"/>
      <c r="L50" s="110"/>
      <c r="M50" s="119" t="str">
        <f t="array" ref="M50">CREDITSSUM({K30:K47,M30:M47},1,2)</f>
        <v>Loading...</v>
      </c>
      <c r="N50" s="118"/>
      <c r="O50" s="120"/>
      <c r="P50" s="40"/>
    </row>
    <row r="51" ht="15.75" customHeight="1">
      <c r="A51" s="40"/>
      <c r="B51" s="103" t="s">
        <v>60</v>
      </c>
      <c r="C51" s="104" t="s">
        <v>61</v>
      </c>
      <c r="D51" s="105"/>
      <c r="E51" s="106"/>
      <c r="F51" s="104" t="s">
        <v>62</v>
      </c>
      <c r="G51" s="105"/>
      <c r="H51" s="107"/>
      <c r="I51" s="110"/>
      <c r="J51" s="1"/>
      <c r="K51" s="1"/>
      <c r="L51" s="1"/>
      <c r="M51" s="1"/>
      <c r="N51" s="1"/>
      <c r="O51" s="1"/>
      <c r="P51" s="40"/>
    </row>
    <row r="52" ht="15.75" customHeight="1">
      <c r="A52" s="40"/>
      <c r="B52" s="112"/>
      <c r="C52" s="113" t="s">
        <v>65</v>
      </c>
      <c r="D52" s="114" t="s">
        <v>66</v>
      </c>
      <c r="E52" s="115" t="s">
        <v>67</v>
      </c>
      <c r="F52" s="113" t="s">
        <v>65</v>
      </c>
      <c r="G52" s="114" t="s">
        <v>66</v>
      </c>
      <c r="H52" s="116" t="s">
        <v>67</v>
      </c>
      <c r="I52" s="110"/>
      <c r="J52" s="1"/>
      <c r="K52" s="1"/>
      <c r="L52" s="1"/>
      <c r="M52" s="1"/>
      <c r="N52" s="1"/>
      <c r="O52" s="1"/>
      <c r="P52" s="40"/>
    </row>
    <row r="53" ht="15.75" customHeight="1">
      <c r="A53" s="40"/>
      <c r="B53" s="132" t="s">
        <v>68</v>
      </c>
      <c r="C53" s="122"/>
      <c r="D53" s="84"/>
      <c r="E53" s="123"/>
      <c r="F53" s="86"/>
      <c r="G53" s="84"/>
      <c r="H53" s="124"/>
      <c r="I53" s="110"/>
      <c r="J53" s="101" t="s">
        <v>59</v>
      </c>
      <c r="K53" s="102"/>
      <c r="L53" s="1"/>
      <c r="M53" s="1"/>
      <c r="N53" s="97"/>
      <c r="O53" s="97"/>
      <c r="P53" s="40"/>
    </row>
    <row r="54" ht="15.75" customHeight="1">
      <c r="A54" s="40"/>
      <c r="B54" s="132" t="s">
        <v>69</v>
      </c>
      <c r="C54" s="122"/>
      <c r="D54" s="84"/>
      <c r="E54" s="123"/>
      <c r="F54" s="86"/>
      <c r="G54" s="84"/>
      <c r="H54" s="124"/>
      <c r="I54" s="110"/>
      <c r="J54" s="108" t="s">
        <v>63</v>
      </c>
      <c r="K54" s="109"/>
      <c r="L54" s="110"/>
      <c r="M54" s="111" t="s">
        <v>64</v>
      </c>
      <c r="N54" s="109"/>
      <c r="O54" s="102"/>
      <c r="P54" s="40"/>
    </row>
    <row r="55" ht="15.75" customHeight="1">
      <c r="A55" s="40"/>
      <c r="B55" s="121" t="s">
        <v>70</v>
      </c>
      <c r="C55" s="122"/>
      <c r="D55" s="84"/>
      <c r="E55" s="123"/>
      <c r="F55" s="86"/>
      <c r="G55" s="84"/>
      <c r="H55" s="124"/>
      <c r="I55" s="110"/>
      <c r="J55" s="117" t="str">
        <f t="array" ref="J55">GPA({K8:K25,M8:M25,O8:O25;K30:K47,M30:M47,O30:O47},1,2)</f>
        <v>Loading...</v>
      </c>
      <c r="K55" s="118"/>
      <c r="L55" s="110"/>
      <c r="M55" s="119" t="str">
        <f t="array" ref="M55">CREDITSSUM({K8:K25,M8:M25;K30:K47,M30:M47},1,2)</f>
        <v>Loading...</v>
      </c>
      <c r="N55" s="118"/>
      <c r="O55" s="120"/>
      <c r="P55" s="40"/>
    </row>
    <row r="56" ht="15.75" customHeight="1">
      <c r="A56" s="40"/>
      <c r="B56" s="125" t="s">
        <v>71</v>
      </c>
      <c r="C56" s="126"/>
      <c r="D56" s="127"/>
      <c r="E56" s="128"/>
      <c r="F56" s="129"/>
      <c r="G56" s="127"/>
      <c r="H56" s="130"/>
      <c r="I56" s="97"/>
      <c r="J56" s="97"/>
      <c r="K56" s="97"/>
      <c r="L56" s="131"/>
      <c r="M56" s="97"/>
      <c r="N56" s="97"/>
      <c r="O56" s="97"/>
      <c r="P56" s="40"/>
    </row>
    <row r="57" ht="15.75" customHeight="1">
      <c r="A57" s="40"/>
      <c r="B57" s="96"/>
      <c r="C57" s="97"/>
      <c r="D57" s="97"/>
      <c r="E57" s="97"/>
      <c r="F57" s="97"/>
      <c r="G57" s="97"/>
      <c r="H57" s="97"/>
      <c r="I57" s="97"/>
      <c r="J57" s="97"/>
      <c r="K57" s="97"/>
      <c r="L57" s="131"/>
      <c r="M57" s="97"/>
      <c r="N57" s="97"/>
      <c r="O57" s="97"/>
      <c r="P57" s="40"/>
    </row>
    <row r="58" ht="15.75" customHeight="1">
      <c r="A58" s="40"/>
      <c r="B58" s="96"/>
      <c r="C58" s="97"/>
      <c r="D58" s="97"/>
      <c r="E58" s="97"/>
      <c r="F58" s="97"/>
      <c r="G58" s="97"/>
      <c r="H58" s="97"/>
      <c r="I58" s="97"/>
      <c r="J58" s="97"/>
      <c r="K58" s="97"/>
      <c r="L58" s="131"/>
      <c r="M58" s="97"/>
      <c r="N58" s="97"/>
      <c r="O58" s="97"/>
      <c r="P58" s="40"/>
    </row>
  </sheetData>
  <mergeCells count="74">
    <mergeCell ref="B36:J36"/>
    <mergeCell ref="B37:J37"/>
    <mergeCell ref="B38:J38"/>
    <mergeCell ref="B39:J39"/>
    <mergeCell ref="B40:J40"/>
    <mergeCell ref="B41:J41"/>
    <mergeCell ref="B42:J42"/>
    <mergeCell ref="J49:K49"/>
    <mergeCell ref="J50:K50"/>
    <mergeCell ref="M50:O50"/>
    <mergeCell ref="B51:B52"/>
    <mergeCell ref="C51:E51"/>
    <mergeCell ref="F51:H51"/>
    <mergeCell ref="J53:K53"/>
    <mergeCell ref="J54:K54"/>
    <mergeCell ref="M54:O54"/>
    <mergeCell ref="J55:K55"/>
    <mergeCell ref="M55:O55"/>
    <mergeCell ref="B43:J43"/>
    <mergeCell ref="B44:J44"/>
    <mergeCell ref="B45:J45"/>
    <mergeCell ref="B46:J46"/>
    <mergeCell ref="B47:J47"/>
    <mergeCell ref="J48:K48"/>
    <mergeCell ref="M49:O49"/>
    <mergeCell ref="C1:H1"/>
    <mergeCell ref="I1:O1"/>
    <mergeCell ref="C2:E2"/>
    <mergeCell ref="F2:H2"/>
    <mergeCell ref="I2:J2"/>
    <mergeCell ref="K2:O2"/>
    <mergeCell ref="C3:E3"/>
    <mergeCell ref="K3:O3"/>
    <mergeCell ref="F3:H3"/>
    <mergeCell ref="I3:J3"/>
    <mergeCell ref="C4:E4"/>
    <mergeCell ref="F4:H4"/>
    <mergeCell ref="I4:J4"/>
    <mergeCell ref="K4:O4"/>
    <mergeCell ref="C5:E6"/>
    <mergeCell ref="K5:O6"/>
    <mergeCell ref="F5:H6"/>
    <mergeCell ref="I5:J6"/>
    <mergeCell ref="B7:J7"/>
    <mergeCell ref="B8:J8"/>
    <mergeCell ref="B9:J9"/>
    <mergeCell ref="B10:J10"/>
    <mergeCell ref="B11:J11"/>
    <mergeCell ref="B12:J12"/>
    <mergeCell ref="B13:J13"/>
    <mergeCell ref="B14:J14"/>
    <mergeCell ref="B15:J15"/>
    <mergeCell ref="B16:J16"/>
    <mergeCell ref="B17:J17"/>
    <mergeCell ref="B18:J18"/>
    <mergeCell ref="J26:K26"/>
    <mergeCell ref="J27:K27"/>
    <mergeCell ref="M27:O27"/>
    <mergeCell ref="J28:K28"/>
    <mergeCell ref="M28:O28"/>
    <mergeCell ref="B19:J19"/>
    <mergeCell ref="B20:J20"/>
    <mergeCell ref="B21:J21"/>
    <mergeCell ref="B22:J22"/>
    <mergeCell ref="B23:J23"/>
    <mergeCell ref="B24:J24"/>
    <mergeCell ref="B25:J25"/>
    <mergeCell ref="B29:J29"/>
    <mergeCell ref="B30:J30"/>
    <mergeCell ref="B31:J31"/>
    <mergeCell ref="B32:J32"/>
    <mergeCell ref="B33:J33"/>
    <mergeCell ref="B34:J34"/>
    <mergeCell ref="B35:J35"/>
  </mergeCells>
  <dataValidations>
    <dataValidation type="custom" allowBlank="1" showDropDown="1" showInputMessage="1" showErrorMessage="1" prompt="Enter a number" sqref="K8:K16 O8:O25 K30:K39 O30:O47">
      <formula1>ISNUMBER(K8)</formula1>
    </dataValidation>
    <dataValidation type="list" allowBlank="1" showInputMessage="1" showErrorMessage="1" prompt="Click and enter a valid scale from the list of items. The valid scales are Letter, 0-100, 0-4, and None" sqref="B3">
      <formula1>"Letter,0-4,0-100,None"</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8.88"/>
    <col customWidth="1" min="3" max="8" width="6.38"/>
    <col customWidth="1" hidden="1" min="9" max="9" width="18.88"/>
    <col customWidth="1" min="10" max="10" width="18.88"/>
    <col customWidth="1" min="11" max="11" width="6.38"/>
    <col customWidth="1" hidden="1" min="12" max="12" width="18.88"/>
    <col customWidth="1" min="13" max="13" width="6.38"/>
    <col customWidth="1" hidden="1" min="14" max="14" width="6.38"/>
    <col customWidth="1" min="15" max="15" width="6.38"/>
  </cols>
  <sheetData>
    <row r="1" ht="15.75" customHeight="1">
      <c r="A1" s="58"/>
      <c r="B1" s="1"/>
      <c r="C1" s="71" t="s">
        <v>5</v>
      </c>
      <c r="I1" s="58" t="s">
        <v>6</v>
      </c>
      <c r="P1" s="72"/>
    </row>
    <row r="2" ht="15.75" customHeight="1">
      <c r="A2" s="58"/>
      <c r="B2" s="74" t="s">
        <v>50</v>
      </c>
      <c r="P2" s="72"/>
    </row>
    <row r="3" ht="15.75" customHeight="1">
      <c r="A3" s="73"/>
      <c r="B3" s="75" t="s">
        <v>51</v>
      </c>
      <c r="C3" s="59" t="s">
        <v>8</v>
      </c>
      <c r="F3" s="60" t="str">
        <f>'Getting Started'!$G$10</f>
        <v/>
      </c>
      <c r="I3" s="59" t="s">
        <v>9</v>
      </c>
      <c r="K3" s="60" t="str">
        <f>'Getting Started'!$I$10</f>
        <v/>
      </c>
      <c r="P3" s="40"/>
    </row>
    <row r="4" ht="15.75" customHeight="1">
      <c r="A4" s="73"/>
      <c r="B4" s="133" t="s">
        <v>72</v>
      </c>
      <c r="C4" s="59" t="s">
        <v>11</v>
      </c>
      <c r="F4" s="61" t="str">
        <f>'Getting Started'!$G$11</f>
        <v/>
      </c>
      <c r="I4" s="59" t="s">
        <v>12</v>
      </c>
      <c r="K4" s="60" t="str">
        <f>'Getting Started'!$I$11</f>
        <v/>
      </c>
      <c r="P4" s="40"/>
    </row>
    <row r="5" ht="15.75" customHeight="1">
      <c r="A5" s="73"/>
      <c r="B5" s="40" t="str">
        <f>J57</f>
        <v>Loading...</v>
      </c>
      <c r="C5" s="59" t="s">
        <v>13</v>
      </c>
      <c r="F5" s="60" t="str">
        <f>'Getting Started'!$G$12</f>
        <v/>
      </c>
      <c r="I5" s="59" t="s">
        <v>14</v>
      </c>
      <c r="K5" s="60" t="str">
        <f>'Getting Started'!$I$12</f>
        <v/>
      </c>
      <c r="P5" s="40"/>
    </row>
    <row r="6" ht="15.75" customHeight="1">
      <c r="A6" s="73"/>
      <c r="B6" s="133" t="s">
        <v>64</v>
      </c>
      <c r="P6" s="40"/>
    </row>
    <row r="7" ht="15.75" customHeight="1">
      <c r="A7" s="73"/>
      <c r="B7" s="40" t="str">
        <f>M57</f>
        <v>Loading...</v>
      </c>
      <c r="C7" s="59" t="s">
        <v>15</v>
      </c>
      <c r="F7" s="62" t="str">
        <f>'Getting Started'!$G$14</f>
        <v/>
      </c>
      <c r="I7" s="59" t="s">
        <v>16</v>
      </c>
      <c r="K7" s="60" t="str">
        <f>'Getting Started'!$I$14</f>
        <v/>
      </c>
      <c r="P7" s="40"/>
    </row>
    <row r="8" ht="15.75" customHeight="1">
      <c r="A8" s="73"/>
      <c r="B8" s="19" t="s">
        <v>74</v>
      </c>
      <c r="P8" s="40"/>
    </row>
    <row r="9" ht="31.5" customHeight="1">
      <c r="A9" s="40"/>
      <c r="B9" s="76" t="s">
        <v>53</v>
      </c>
      <c r="C9" s="8"/>
      <c r="D9" s="8"/>
      <c r="E9" s="8"/>
      <c r="F9" s="8"/>
      <c r="G9" s="8"/>
      <c r="H9" s="8"/>
      <c r="I9" s="8"/>
      <c r="J9" s="77"/>
      <c r="K9" s="78" t="s">
        <v>54</v>
      </c>
      <c r="L9" s="79" t="s">
        <v>55</v>
      </c>
      <c r="M9" s="80" t="s">
        <v>56</v>
      </c>
      <c r="N9" s="81"/>
      <c r="O9" s="82" t="s">
        <v>57</v>
      </c>
      <c r="P9" s="1"/>
    </row>
    <row r="10" ht="15.75" customHeight="1">
      <c r="A10" s="40"/>
      <c r="B10" s="83"/>
      <c r="J10" s="47"/>
      <c r="K10" s="84"/>
      <c r="L10" s="85"/>
      <c r="M10" s="86"/>
      <c r="N10" s="87"/>
      <c r="O10" s="88"/>
      <c r="P10" s="1"/>
    </row>
    <row r="11" ht="15.75" customHeight="1">
      <c r="A11" s="40"/>
      <c r="B11" s="141"/>
      <c r="J11" s="47"/>
      <c r="K11" s="84"/>
      <c r="L11" s="85" t="b">
        <v>0</v>
      </c>
      <c r="M11" s="86"/>
      <c r="N11" s="142"/>
      <c r="O11" s="88"/>
      <c r="P11" s="40"/>
    </row>
    <row r="12" ht="15.75" customHeight="1">
      <c r="A12" s="40"/>
      <c r="B12" s="141"/>
      <c r="J12" s="47"/>
      <c r="K12" s="84"/>
      <c r="L12" s="143" t="b">
        <v>0</v>
      </c>
      <c r="M12" s="86"/>
      <c r="N12" s="142"/>
      <c r="O12" s="144"/>
      <c r="P12" s="40"/>
    </row>
    <row r="13" ht="15.75" customHeight="1">
      <c r="A13" s="40"/>
      <c r="B13" s="141"/>
      <c r="J13" s="47"/>
      <c r="K13" s="145"/>
      <c r="L13" s="143" t="b">
        <v>0</v>
      </c>
      <c r="M13" s="146"/>
      <c r="N13" s="142"/>
      <c r="O13" s="144"/>
      <c r="P13" s="40"/>
    </row>
    <row r="14" ht="15.75" customHeight="1">
      <c r="A14" s="40"/>
      <c r="B14" s="141"/>
      <c r="J14" s="47"/>
      <c r="K14" s="145"/>
      <c r="L14" s="85" t="b">
        <v>0</v>
      </c>
      <c r="M14" s="146"/>
      <c r="N14" s="142"/>
      <c r="O14" s="144"/>
      <c r="P14" s="40"/>
    </row>
    <row r="15" ht="15.75" customHeight="1">
      <c r="A15" s="40"/>
      <c r="B15" s="141"/>
      <c r="J15" s="47"/>
      <c r="K15" s="145"/>
      <c r="L15" s="85" t="b">
        <v>0</v>
      </c>
      <c r="M15" s="146"/>
      <c r="N15" s="142"/>
      <c r="O15" s="144"/>
      <c r="P15" s="40"/>
    </row>
    <row r="16" ht="15.75" customHeight="1">
      <c r="A16" s="40"/>
      <c r="B16" s="141"/>
      <c r="J16" s="47"/>
      <c r="K16" s="145"/>
      <c r="L16" s="85" t="b">
        <v>0</v>
      </c>
      <c r="M16" s="146"/>
      <c r="N16" s="142"/>
      <c r="O16" s="144"/>
      <c r="P16" s="40"/>
    </row>
    <row r="17" ht="15.75" customHeight="1">
      <c r="A17" s="40"/>
      <c r="B17" s="141"/>
      <c r="J17" s="47"/>
      <c r="K17" s="145"/>
      <c r="L17" s="143" t="b">
        <v>0</v>
      </c>
      <c r="M17" s="146"/>
      <c r="N17" s="142"/>
      <c r="O17" s="144"/>
      <c r="P17" s="40"/>
    </row>
    <row r="18" ht="15.75" customHeight="1">
      <c r="A18" s="40"/>
      <c r="B18" s="141"/>
      <c r="J18" s="47"/>
      <c r="K18" s="145"/>
      <c r="L18" s="143" t="b">
        <v>0</v>
      </c>
      <c r="M18" s="146"/>
      <c r="N18" s="142"/>
      <c r="O18" s="144"/>
      <c r="P18" s="40"/>
    </row>
    <row r="19" ht="15.75" customHeight="1">
      <c r="A19" s="40"/>
      <c r="B19" s="141"/>
      <c r="J19" s="47"/>
      <c r="K19" s="145"/>
      <c r="L19" s="143" t="b">
        <v>0</v>
      </c>
      <c r="M19" s="146"/>
      <c r="N19" s="142"/>
      <c r="O19" s="144"/>
      <c r="P19" s="40"/>
    </row>
    <row r="20" ht="15.75" customHeight="1">
      <c r="A20" s="40"/>
      <c r="B20" s="141"/>
      <c r="J20" s="47"/>
      <c r="K20" s="145"/>
      <c r="L20" s="143" t="b">
        <v>0</v>
      </c>
      <c r="M20" s="146"/>
      <c r="N20" s="142"/>
      <c r="O20" s="144"/>
      <c r="P20" s="40"/>
    </row>
    <row r="21" ht="15.75" customHeight="1">
      <c r="A21" s="40"/>
      <c r="B21" s="141"/>
      <c r="J21" s="47"/>
      <c r="K21" s="145"/>
      <c r="L21" s="143" t="b">
        <v>0</v>
      </c>
      <c r="M21" s="146"/>
      <c r="N21" s="142"/>
      <c r="O21" s="144"/>
      <c r="P21" s="40"/>
    </row>
    <row r="22" ht="15.75" customHeight="1">
      <c r="A22" s="40"/>
      <c r="B22" s="141"/>
      <c r="J22" s="47"/>
      <c r="K22" s="145"/>
      <c r="L22" s="143" t="b">
        <v>0</v>
      </c>
      <c r="M22" s="146"/>
      <c r="N22" s="142"/>
      <c r="O22" s="144"/>
      <c r="P22" s="40"/>
    </row>
    <row r="23" ht="15.75" customHeight="1">
      <c r="A23" s="40"/>
      <c r="B23" s="141"/>
      <c r="J23" s="47"/>
      <c r="K23" s="145"/>
      <c r="L23" s="143" t="b">
        <v>0</v>
      </c>
      <c r="M23" s="146"/>
      <c r="N23" s="142"/>
      <c r="O23" s="144"/>
      <c r="P23" s="40"/>
    </row>
    <row r="24" ht="15.75" customHeight="1">
      <c r="A24" s="40"/>
      <c r="B24" s="141"/>
      <c r="J24" s="47"/>
      <c r="K24" s="145"/>
      <c r="L24" s="143" t="b">
        <v>0</v>
      </c>
      <c r="M24" s="146"/>
      <c r="N24" s="142"/>
      <c r="O24" s="144"/>
      <c r="P24" s="40"/>
    </row>
    <row r="25" ht="15.75" customHeight="1">
      <c r="A25" s="40"/>
      <c r="B25" s="141"/>
      <c r="J25" s="47"/>
      <c r="K25" s="145"/>
      <c r="L25" s="143" t="b">
        <v>0</v>
      </c>
      <c r="M25" s="146"/>
      <c r="N25" s="142"/>
      <c r="O25" s="144"/>
      <c r="P25" s="40"/>
    </row>
    <row r="26" ht="15.75" customHeight="1">
      <c r="A26" s="40"/>
      <c r="B26" s="141"/>
      <c r="J26" s="47"/>
      <c r="K26" s="145"/>
      <c r="L26" s="143" t="b">
        <v>0</v>
      </c>
      <c r="M26" s="146"/>
      <c r="N26" s="142"/>
      <c r="O26" s="144"/>
      <c r="P26" s="40"/>
    </row>
    <row r="27" ht="15.75" customHeight="1">
      <c r="A27" s="40"/>
      <c r="B27" s="89"/>
      <c r="C27" s="16"/>
      <c r="D27" s="16"/>
      <c r="E27" s="16"/>
      <c r="F27" s="16"/>
      <c r="G27" s="16"/>
      <c r="H27" s="16"/>
      <c r="I27" s="16"/>
      <c r="J27" s="90"/>
      <c r="K27" s="91"/>
      <c r="L27" s="92" t="b">
        <v>0</v>
      </c>
      <c r="M27" s="93"/>
      <c r="N27" s="94"/>
      <c r="O27" s="95"/>
      <c r="P27" s="40"/>
    </row>
    <row r="28" ht="15.75" customHeight="1">
      <c r="A28" s="40"/>
      <c r="B28" s="147" t="s">
        <v>73</v>
      </c>
      <c r="C28" s="148"/>
      <c r="I28" s="1"/>
      <c r="J28" s="101" t="s">
        <v>75</v>
      </c>
      <c r="K28" s="102"/>
      <c r="L28" s="1"/>
      <c r="M28" s="1"/>
      <c r="N28" s="97"/>
      <c r="O28" s="97"/>
      <c r="P28" s="40"/>
    </row>
    <row r="29" ht="15.75" customHeight="1">
      <c r="A29" s="40"/>
      <c r="B29" s="96"/>
      <c r="C29" s="149"/>
      <c r="I29" s="100"/>
      <c r="J29" s="108" t="s">
        <v>63</v>
      </c>
      <c r="K29" s="109"/>
      <c r="L29" s="110"/>
      <c r="M29" s="111" t="s">
        <v>64</v>
      </c>
      <c r="N29" s="109"/>
      <c r="O29" s="102"/>
      <c r="P29" s="40"/>
    </row>
    <row r="30" ht="15.75" customHeight="1">
      <c r="A30" s="40"/>
      <c r="B30" s="19" t="s">
        <v>76</v>
      </c>
      <c r="C30" s="149"/>
      <c r="I30" s="100"/>
      <c r="J30" s="117" t="str">
        <f t="array" ref="J30">GPA({K10:K27,M10:M27,O10:O27},1,2)</f>
        <v>Loading...</v>
      </c>
      <c r="K30" s="118"/>
      <c r="L30" s="110"/>
      <c r="M30" s="119" t="str">
        <f t="array" ref="M30">CREDITSSUM({K10:K27,M10:M27},1,2)</f>
        <v>Loading...</v>
      </c>
      <c r="N30" s="118"/>
      <c r="O30" s="120"/>
      <c r="P30" s="40"/>
    </row>
    <row r="31" ht="31.5" customHeight="1">
      <c r="A31" s="40"/>
      <c r="B31" s="76" t="s">
        <v>53</v>
      </c>
      <c r="C31" s="8"/>
      <c r="D31" s="8"/>
      <c r="E31" s="8"/>
      <c r="F31" s="8"/>
      <c r="G31" s="8"/>
      <c r="H31" s="8"/>
      <c r="I31" s="8"/>
      <c r="J31" s="77"/>
      <c r="K31" s="78" t="s">
        <v>54</v>
      </c>
      <c r="L31" s="79" t="s">
        <v>55</v>
      </c>
      <c r="M31" s="80" t="s">
        <v>56</v>
      </c>
      <c r="N31" s="81"/>
      <c r="O31" s="82" t="s">
        <v>57</v>
      </c>
      <c r="P31" s="1"/>
    </row>
    <row r="32" ht="15.75" customHeight="1">
      <c r="A32" s="40"/>
      <c r="B32" s="83"/>
      <c r="J32" s="47"/>
      <c r="K32" s="84"/>
      <c r="L32" s="85"/>
      <c r="M32" s="86"/>
      <c r="N32" s="87"/>
      <c r="O32" s="88"/>
      <c r="P32" s="1"/>
    </row>
    <row r="33" ht="15.75" customHeight="1">
      <c r="A33" s="40"/>
      <c r="B33" s="141"/>
      <c r="J33" s="47"/>
      <c r="K33" s="84"/>
      <c r="L33" s="85" t="b">
        <v>0</v>
      </c>
      <c r="M33" s="86"/>
      <c r="N33" s="142"/>
      <c r="O33" s="88"/>
      <c r="P33" s="40"/>
    </row>
    <row r="34" ht="15.75" customHeight="1">
      <c r="A34" s="40"/>
      <c r="B34" s="141"/>
      <c r="J34" s="47"/>
      <c r="K34" s="84"/>
      <c r="L34" s="143" t="b">
        <v>0</v>
      </c>
      <c r="M34" s="86"/>
      <c r="N34" s="142"/>
      <c r="O34" s="144"/>
      <c r="P34" s="40"/>
    </row>
    <row r="35" ht="15.75" customHeight="1">
      <c r="A35" s="40"/>
      <c r="B35" s="141"/>
      <c r="J35" s="47"/>
      <c r="K35" s="145"/>
      <c r="L35" s="143" t="b">
        <v>0</v>
      </c>
      <c r="M35" s="146"/>
      <c r="N35" s="142"/>
      <c r="O35" s="144"/>
      <c r="P35" s="40"/>
    </row>
    <row r="36" ht="15.75" customHeight="1">
      <c r="A36" s="40"/>
      <c r="B36" s="141"/>
      <c r="J36" s="47"/>
      <c r="K36" s="145"/>
      <c r="L36" s="85" t="b">
        <v>0</v>
      </c>
      <c r="M36" s="146"/>
      <c r="N36" s="142"/>
      <c r="O36" s="144"/>
      <c r="P36" s="40"/>
    </row>
    <row r="37" ht="15.75" customHeight="1">
      <c r="A37" s="40"/>
      <c r="B37" s="141"/>
      <c r="J37" s="47"/>
      <c r="K37" s="145"/>
      <c r="L37" s="85" t="b">
        <v>0</v>
      </c>
      <c r="M37" s="146"/>
      <c r="N37" s="142"/>
      <c r="O37" s="144"/>
      <c r="P37" s="40"/>
    </row>
    <row r="38" ht="15.75" customHeight="1">
      <c r="A38" s="40"/>
      <c r="B38" s="141"/>
      <c r="J38" s="47"/>
      <c r="K38" s="145"/>
      <c r="L38" s="85" t="b">
        <v>0</v>
      </c>
      <c r="M38" s="146"/>
      <c r="N38" s="142"/>
      <c r="O38" s="144"/>
      <c r="P38" s="40"/>
    </row>
    <row r="39" ht="15.75" customHeight="1">
      <c r="A39" s="40"/>
      <c r="B39" s="141"/>
      <c r="J39" s="47"/>
      <c r="K39" s="146"/>
      <c r="L39" s="85" t="b">
        <v>0</v>
      </c>
      <c r="M39" s="146"/>
      <c r="N39" s="142"/>
      <c r="O39" s="144"/>
      <c r="P39" s="40"/>
    </row>
    <row r="40" ht="15.75" customHeight="1">
      <c r="A40" s="40"/>
      <c r="B40" s="141"/>
      <c r="J40" s="47"/>
      <c r="K40" s="145"/>
      <c r="L40" s="143" t="b">
        <v>0</v>
      </c>
      <c r="M40" s="146"/>
      <c r="N40" s="142"/>
      <c r="O40" s="144"/>
      <c r="P40" s="40"/>
    </row>
    <row r="41" ht="15.75" customHeight="1">
      <c r="A41" s="40"/>
      <c r="B41" s="141"/>
      <c r="J41" s="47"/>
      <c r="K41" s="145"/>
      <c r="L41" s="143" t="b">
        <v>0</v>
      </c>
      <c r="M41" s="146"/>
      <c r="N41" s="142"/>
      <c r="O41" s="144"/>
      <c r="P41" s="40"/>
    </row>
    <row r="42" ht="15.75" customHeight="1">
      <c r="A42" s="40"/>
      <c r="B42" s="141"/>
      <c r="J42" s="47"/>
      <c r="K42" s="145"/>
      <c r="L42" s="143" t="b">
        <v>0</v>
      </c>
      <c r="M42" s="146"/>
      <c r="N42" s="142"/>
      <c r="O42" s="144"/>
      <c r="P42" s="40"/>
    </row>
    <row r="43" ht="15.75" customHeight="1">
      <c r="A43" s="40"/>
      <c r="B43" s="141"/>
      <c r="J43" s="47"/>
      <c r="K43" s="145"/>
      <c r="L43" s="143" t="b">
        <v>0</v>
      </c>
      <c r="M43" s="146"/>
      <c r="N43" s="142"/>
      <c r="O43" s="144"/>
      <c r="P43" s="40"/>
    </row>
    <row r="44" ht="15.75" customHeight="1">
      <c r="A44" s="40"/>
      <c r="B44" s="141"/>
      <c r="J44" s="47"/>
      <c r="K44" s="145"/>
      <c r="L44" s="143" t="b">
        <v>0</v>
      </c>
      <c r="M44" s="146"/>
      <c r="N44" s="142"/>
      <c r="O44" s="144"/>
      <c r="P44" s="40"/>
    </row>
    <row r="45" ht="15.75" customHeight="1">
      <c r="A45" s="40"/>
      <c r="B45" s="141"/>
      <c r="J45" s="47"/>
      <c r="K45" s="145"/>
      <c r="L45" s="143" t="b">
        <v>0</v>
      </c>
      <c r="M45" s="146"/>
      <c r="N45" s="142"/>
      <c r="O45" s="144"/>
      <c r="P45" s="40"/>
    </row>
    <row r="46" ht="15.75" customHeight="1">
      <c r="A46" s="40"/>
      <c r="B46" s="141"/>
      <c r="J46" s="47"/>
      <c r="K46" s="145"/>
      <c r="L46" s="143" t="b">
        <v>0</v>
      </c>
      <c r="M46" s="146"/>
      <c r="N46" s="142"/>
      <c r="O46" s="144"/>
      <c r="P46" s="40"/>
    </row>
    <row r="47" ht="15.75" customHeight="1">
      <c r="A47" s="40"/>
      <c r="B47" s="141"/>
      <c r="J47" s="47"/>
      <c r="K47" s="145"/>
      <c r="L47" s="143" t="b">
        <v>0</v>
      </c>
      <c r="M47" s="146"/>
      <c r="N47" s="142"/>
      <c r="O47" s="144"/>
      <c r="P47" s="40"/>
    </row>
    <row r="48" ht="15.75" customHeight="1">
      <c r="A48" s="40"/>
      <c r="B48" s="141"/>
      <c r="J48" s="47"/>
      <c r="K48" s="145"/>
      <c r="L48" s="143" t="b">
        <v>0</v>
      </c>
      <c r="M48" s="146"/>
      <c r="N48" s="142"/>
      <c r="O48" s="144"/>
      <c r="P48" s="40"/>
    </row>
    <row r="49" ht="15.75" customHeight="1">
      <c r="A49" s="40"/>
      <c r="B49" s="89"/>
      <c r="C49" s="16"/>
      <c r="D49" s="16"/>
      <c r="E49" s="16"/>
      <c r="F49" s="16"/>
      <c r="G49" s="16"/>
      <c r="H49" s="16"/>
      <c r="I49" s="16"/>
      <c r="J49" s="90"/>
      <c r="K49" s="91"/>
      <c r="L49" s="92" t="b">
        <v>0</v>
      </c>
      <c r="M49" s="93"/>
      <c r="N49" s="94"/>
      <c r="O49" s="95"/>
      <c r="P49" s="40"/>
    </row>
    <row r="50" ht="15.75" customHeight="1">
      <c r="A50" s="40"/>
      <c r="B50" s="147" t="s">
        <v>73</v>
      </c>
      <c r="C50" s="148"/>
      <c r="I50" s="1"/>
      <c r="J50" s="101" t="s">
        <v>77</v>
      </c>
      <c r="K50" s="102"/>
      <c r="L50" s="1"/>
      <c r="M50" s="1"/>
      <c r="N50" s="97"/>
      <c r="O50" s="97"/>
      <c r="P50" s="40"/>
    </row>
    <row r="51" ht="15.75" customHeight="1">
      <c r="A51" s="40"/>
      <c r="B51" s="1"/>
      <c r="C51" s="149"/>
      <c r="I51" s="100"/>
      <c r="J51" s="108" t="s">
        <v>63</v>
      </c>
      <c r="K51" s="109"/>
      <c r="L51" s="110"/>
      <c r="M51" s="111" t="s">
        <v>64</v>
      </c>
      <c r="N51" s="109"/>
      <c r="O51" s="102"/>
      <c r="P51" s="40"/>
    </row>
    <row r="52" ht="15.75" customHeight="1">
      <c r="A52" s="40"/>
      <c r="B52" s="98" t="s">
        <v>58</v>
      </c>
      <c r="C52" s="149"/>
      <c r="I52" s="100"/>
      <c r="J52" s="117" t="str">
        <f t="array" ref="J52">GPA({K32:K49,M32:M49,O32:O49},1,2)</f>
        <v>Loading...</v>
      </c>
      <c r="K52" s="118"/>
      <c r="L52" s="110"/>
      <c r="M52" s="119" t="str">
        <f t="array" ref="M52">CREDITSSUM({K32:K49,M32:M49},1,2)</f>
        <v>Loading...</v>
      </c>
      <c r="N52" s="118"/>
      <c r="O52" s="120"/>
      <c r="P52" s="40"/>
    </row>
    <row r="53" ht="15.75" customHeight="1">
      <c r="A53" s="40"/>
      <c r="B53" s="103" t="s">
        <v>60</v>
      </c>
      <c r="C53" s="104" t="s">
        <v>61</v>
      </c>
      <c r="D53" s="105"/>
      <c r="E53" s="106"/>
      <c r="F53" s="104" t="s">
        <v>62</v>
      </c>
      <c r="G53" s="105"/>
      <c r="H53" s="107"/>
      <c r="I53" s="110"/>
      <c r="J53" s="1"/>
      <c r="K53" s="1"/>
      <c r="L53" s="1"/>
      <c r="M53" s="1"/>
      <c r="N53" s="1"/>
      <c r="O53" s="1"/>
      <c r="P53" s="40"/>
    </row>
    <row r="54" ht="15.75" customHeight="1">
      <c r="A54" s="40"/>
      <c r="B54" s="112"/>
      <c r="C54" s="113" t="s">
        <v>65</v>
      </c>
      <c r="D54" s="114" t="s">
        <v>66</v>
      </c>
      <c r="E54" s="115" t="s">
        <v>67</v>
      </c>
      <c r="F54" s="113" t="s">
        <v>65</v>
      </c>
      <c r="G54" s="114" t="s">
        <v>66</v>
      </c>
      <c r="H54" s="116" t="s">
        <v>67</v>
      </c>
      <c r="I54" s="110"/>
      <c r="J54" s="1"/>
      <c r="K54" s="1"/>
      <c r="L54" s="1"/>
      <c r="M54" s="1"/>
      <c r="N54" s="1"/>
      <c r="O54" s="1"/>
      <c r="P54" s="40"/>
    </row>
    <row r="55" ht="15.75" customHeight="1">
      <c r="A55" s="40"/>
      <c r="B55" s="132" t="s">
        <v>68</v>
      </c>
      <c r="C55" s="122"/>
      <c r="D55" s="84"/>
      <c r="E55" s="123"/>
      <c r="F55" s="86"/>
      <c r="G55" s="84"/>
      <c r="H55" s="124"/>
      <c r="I55" s="110"/>
      <c r="J55" s="101" t="s">
        <v>59</v>
      </c>
      <c r="K55" s="102"/>
      <c r="L55" s="1"/>
      <c r="M55" s="1"/>
      <c r="N55" s="97"/>
      <c r="O55" s="97"/>
      <c r="P55" s="40"/>
    </row>
    <row r="56" ht="15.75" customHeight="1">
      <c r="A56" s="40"/>
      <c r="B56" s="132" t="s">
        <v>69</v>
      </c>
      <c r="C56" s="122"/>
      <c r="D56" s="84"/>
      <c r="E56" s="123"/>
      <c r="F56" s="86"/>
      <c r="G56" s="84"/>
      <c r="H56" s="124"/>
      <c r="I56" s="110"/>
      <c r="J56" s="108" t="s">
        <v>63</v>
      </c>
      <c r="K56" s="109"/>
      <c r="L56" s="110"/>
      <c r="M56" s="111" t="s">
        <v>64</v>
      </c>
      <c r="N56" s="109"/>
      <c r="O56" s="102"/>
      <c r="P56" s="40"/>
    </row>
    <row r="57" ht="15.75" customHeight="1">
      <c r="A57" s="40"/>
      <c r="B57" s="121" t="s">
        <v>70</v>
      </c>
      <c r="C57" s="122"/>
      <c r="D57" s="84"/>
      <c r="E57" s="123"/>
      <c r="F57" s="86"/>
      <c r="G57" s="84"/>
      <c r="H57" s="124"/>
      <c r="I57" s="110"/>
      <c r="J57" s="117" t="str">
        <f t="array" ref="J57">GPA({K10:K27,M10:M27,O10:O27;K32:K49,M32:M49,O32:O49},1,2)</f>
        <v>Loading...</v>
      </c>
      <c r="K57" s="118"/>
      <c r="L57" s="110"/>
      <c r="M57" s="119" t="str">
        <f t="array" ref="M57">CREDITSSUM({K10:K27,M10:M27;K32:K49,M32:M49},1,2)</f>
        <v>Loading...</v>
      </c>
      <c r="N57" s="118"/>
      <c r="O57" s="120"/>
      <c r="P57" s="40"/>
    </row>
    <row r="58" ht="15.75" customHeight="1">
      <c r="A58" s="40"/>
      <c r="B58" s="125" t="s">
        <v>71</v>
      </c>
      <c r="C58" s="126"/>
      <c r="D58" s="127"/>
      <c r="E58" s="128"/>
      <c r="F58" s="129"/>
      <c r="G58" s="127"/>
      <c r="H58" s="130"/>
      <c r="I58" s="97"/>
      <c r="J58" s="97"/>
      <c r="K58" s="97"/>
      <c r="L58" s="131"/>
      <c r="M58" s="97"/>
      <c r="N58" s="97"/>
      <c r="O58" s="97"/>
      <c r="P58" s="40"/>
    </row>
    <row r="59" ht="15.75" customHeight="1">
      <c r="A59" s="40"/>
      <c r="B59" s="96"/>
      <c r="C59" s="97"/>
      <c r="D59" s="97"/>
      <c r="E59" s="97"/>
      <c r="F59" s="97"/>
      <c r="G59" s="97"/>
      <c r="H59" s="97"/>
      <c r="I59" s="97"/>
      <c r="J59" s="97"/>
      <c r="K59" s="97"/>
      <c r="L59" s="131"/>
      <c r="M59" s="97"/>
      <c r="N59" s="97"/>
      <c r="O59" s="97"/>
      <c r="P59" s="40"/>
    </row>
    <row r="60" ht="15.75" customHeight="1">
      <c r="A60" s="40"/>
      <c r="B60" s="96"/>
      <c r="C60" s="97"/>
      <c r="D60" s="97"/>
      <c r="E60" s="97"/>
      <c r="F60" s="97"/>
      <c r="G60" s="97"/>
      <c r="H60" s="97"/>
      <c r="I60" s="97"/>
      <c r="J60" s="97"/>
      <c r="K60" s="97"/>
      <c r="L60" s="131"/>
      <c r="M60" s="97"/>
      <c r="N60" s="97"/>
      <c r="O60" s="97"/>
      <c r="P60" s="40"/>
    </row>
  </sheetData>
  <mergeCells count="76">
    <mergeCell ref="B39:J39"/>
    <mergeCell ref="B40:J40"/>
    <mergeCell ref="B41:J41"/>
    <mergeCell ref="B42:J42"/>
    <mergeCell ref="B43:J43"/>
    <mergeCell ref="B44:J44"/>
    <mergeCell ref="B45:J45"/>
    <mergeCell ref="J51:K51"/>
    <mergeCell ref="J52:K52"/>
    <mergeCell ref="J55:K55"/>
    <mergeCell ref="J56:K56"/>
    <mergeCell ref="M56:O56"/>
    <mergeCell ref="J57:K57"/>
    <mergeCell ref="M57:O57"/>
    <mergeCell ref="C50:H52"/>
    <mergeCell ref="B53:B54"/>
    <mergeCell ref="C53:E53"/>
    <mergeCell ref="F53:H53"/>
    <mergeCell ref="B46:J46"/>
    <mergeCell ref="B47:J47"/>
    <mergeCell ref="B48:J48"/>
    <mergeCell ref="B49:J49"/>
    <mergeCell ref="J50:K50"/>
    <mergeCell ref="M51:O51"/>
    <mergeCell ref="M52:O52"/>
    <mergeCell ref="C1:H2"/>
    <mergeCell ref="I1:O2"/>
    <mergeCell ref="C3:E3"/>
    <mergeCell ref="F3:H3"/>
    <mergeCell ref="I3:J3"/>
    <mergeCell ref="K3:O3"/>
    <mergeCell ref="C4:E4"/>
    <mergeCell ref="K4:O4"/>
    <mergeCell ref="F4:H4"/>
    <mergeCell ref="I4:J4"/>
    <mergeCell ref="C5:E6"/>
    <mergeCell ref="F5:H6"/>
    <mergeCell ref="I5:J6"/>
    <mergeCell ref="K5:O6"/>
    <mergeCell ref="C7:E8"/>
    <mergeCell ref="K7:O8"/>
    <mergeCell ref="F7:H8"/>
    <mergeCell ref="I7:J8"/>
    <mergeCell ref="B9:J9"/>
    <mergeCell ref="B10:J10"/>
    <mergeCell ref="B11:J11"/>
    <mergeCell ref="B12:J12"/>
    <mergeCell ref="B13:J13"/>
    <mergeCell ref="B14:J14"/>
    <mergeCell ref="B15:J15"/>
    <mergeCell ref="B16:J16"/>
    <mergeCell ref="B17:J17"/>
    <mergeCell ref="B18:J18"/>
    <mergeCell ref="B19:J19"/>
    <mergeCell ref="B20:J20"/>
    <mergeCell ref="B21:J21"/>
    <mergeCell ref="B22:J22"/>
    <mergeCell ref="B23:J23"/>
    <mergeCell ref="B24:J24"/>
    <mergeCell ref="B25:J25"/>
    <mergeCell ref="B26:J26"/>
    <mergeCell ref="B27:J27"/>
    <mergeCell ref="C28:H30"/>
    <mergeCell ref="J28:K28"/>
    <mergeCell ref="J29:K29"/>
    <mergeCell ref="M29:O29"/>
    <mergeCell ref="J30:K30"/>
    <mergeCell ref="M30:O30"/>
    <mergeCell ref="B31:J31"/>
    <mergeCell ref="B32:J32"/>
    <mergeCell ref="B33:J33"/>
    <mergeCell ref="B34:J34"/>
    <mergeCell ref="B35:J35"/>
    <mergeCell ref="B36:J36"/>
    <mergeCell ref="B37:J37"/>
    <mergeCell ref="B38:J38"/>
  </mergeCells>
  <dataValidations>
    <dataValidation type="custom" allowBlank="1" showDropDown="1" showInputMessage="1" showErrorMessage="1" prompt="Enter a number" sqref="K10:K18 O10:O27 K32:K41 O32:O49">
      <formula1>ISNUMBER(K10)</formula1>
    </dataValidation>
    <dataValidation type="list" allowBlank="1" showInputMessage="1" showErrorMessage="1" prompt="Click and enter a valid scale from the list of items. The valid scales are Letter, 0-100, 0-4, and None" sqref="B3">
      <formula1>"Letter,0-4,0-100,None"</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8.88"/>
    <col customWidth="1" min="3" max="8" width="6.38"/>
    <col customWidth="1" hidden="1" min="9" max="9" width="18.88"/>
    <col customWidth="1" min="10" max="10" width="18.88"/>
    <col customWidth="1" min="11" max="11" width="6.38"/>
    <col customWidth="1" hidden="1" min="12" max="12" width="18.88"/>
    <col customWidth="1" min="13" max="13" width="6.38"/>
    <col customWidth="1" hidden="1" min="14" max="14" width="6.38"/>
    <col customWidth="1" min="15" max="15" width="6.38"/>
  </cols>
  <sheetData>
    <row r="1" ht="15.75" customHeight="1">
      <c r="A1" s="58"/>
      <c r="B1" s="1"/>
      <c r="C1" s="71" t="s">
        <v>5</v>
      </c>
      <c r="I1" s="58" t="s">
        <v>6</v>
      </c>
      <c r="P1" s="72"/>
    </row>
    <row r="2" ht="15.75" customHeight="1">
      <c r="A2" s="58"/>
      <c r="B2" s="74" t="s">
        <v>50</v>
      </c>
      <c r="P2" s="72"/>
    </row>
    <row r="3" ht="15.75" customHeight="1">
      <c r="A3" s="73"/>
      <c r="B3" s="75" t="s">
        <v>51</v>
      </c>
      <c r="C3" s="59" t="s">
        <v>8</v>
      </c>
      <c r="F3" s="60" t="str">
        <f>'Getting Started'!$G$10</f>
        <v/>
      </c>
      <c r="I3" s="59" t="s">
        <v>9</v>
      </c>
      <c r="K3" s="60" t="str">
        <f>'Getting Started'!$I$10</f>
        <v/>
      </c>
      <c r="P3" s="40"/>
    </row>
    <row r="4" ht="15.75" customHeight="1">
      <c r="A4" s="73"/>
      <c r="B4" s="133" t="s">
        <v>72</v>
      </c>
      <c r="C4" s="59" t="s">
        <v>11</v>
      </c>
      <c r="F4" s="61" t="str">
        <f>'Getting Started'!$G$11</f>
        <v/>
      </c>
      <c r="I4" s="59" t="s">
        <v>12</v>
      </c>
      <c r="K4" s="60" t="str">
        <f>'Getting Started'!$I$11</f>
        <v/>
      </c>
      <c r="P4" s="40"/>
    </row>
    <row r="5" ht="15.75" customHeight="1">
      <c r="A5" s="73"/>
      <c r="B5" s="40" t="str">
        <f t="array" ref="B5">GPA({'9th Grade (Semester)'!K10:K27,'9th Grade (Semester)'!M10:M27,'9th Grade (Semester)'!O10:O27;'9th Grade (Semester)'!K32:K49,'9th Grade (Semester)'!M32:M49,'9th Grade (Semester)'!O32:O49;K10:K27,M10:M27,O10:O27;K32:K49,M32:M49,O32:O49},1,2)</f>
        <v>Loading...</v>
      </c>
      <c r="C5" s="59" t="s">
        <v>13</v>
      </c>
      <c r="F5" s="60" t="str">
        <f>'Getting Started'!$G$12</f>
        <v/>
      </c>
      <c r="I5" s="59" t="s">
        <v>14</v>
      </c>
      <c r="K5" s="60" t="str">
        <f>'Getting Started'!$I$12</f>
        <v/>
      </c>
      <c r="P5" s="40"/>
    </row>
    <row r="6" ht="15.75" customHeight="1">
      <c r="A6" s="73"/>
      <c r="B6" s="133" t="s">
        <v>64</v>
      </c>
      <c r="P6" s="40"/>
    </row>
    <row r="7" ht="15.75" customHeight="1">
      <c r="A7" s="73"/>
      <c r="B7" s="40" t="str">
        <f>IF('9th Grade (Semester)'!B7+M57 = 0, "", '9th Grade (Semester)'!B7+M57)</f>
        <v>Loading...</v>
      </c>
      <c r="C7" s="59" t="s">
        <v>15</v>
      </c>
      <c r="F7" s="62" t="str">
        <f>'Getting Started'!$G$14</f>
        <v/>
      </c>
      <c r="I7" s="59" t="s">
        <v>16</v>
      </c>
      <c r="K7" s="60" t="str">
        <f>'Getting Started'!$I$14</f>
        <v/>
      </c>
      <c r="P7" s="40"/>
    </row>
    <row r="8" ht="15.75" customHeight="1">
      <c r="A8" s="73"/>
      <c r="B8" s="19" t="s">
        <v>74</v>
      </c>
      <c r="P8" s="40"/>
    </row>
    <row r="9" ht="31.5" customHeight="1">
      <c r="A9" s="40"/>
      <c r="B9" s="76" t="s">
        <v>53</v>
      </c>
      <c r="C9" s="8"/>
      <c r="D9" s="8"/>
      <c r="E9" s="8"/>
      <c r="F9" s="8"/>
      <c r="G9" s="8"/>
      <c r="H9" s="8"/>
      <c r="I9" s="8"/>
      <c r="J9" s="77"/>
      <c r="K9" s="78" t="s">
        <v>54</v>
      </c>
      <c r="L9" s="79" t="s">
        <v>55</v>
      </c>
      <c r="M9" s="80" t="s">
        <v>56</v>
      </c>
      <c r="N9" s="81"/>
      <c r="O9" s="82" t="s">
        <v>57</v>
      </c>
      <c r="P9" s="1"/>
    </row>
    <row r="10" ht="15.75" customHeight="1">
      <c r="A10" s="40"/>
      <c r="B10" s="83"/>
      <c r="J10" s="47"/>
      <c r="K10" s="84"/>
      <c r="L10" s="85"/>
      <c r="M10" s="86"/>
      <c r="N10" s="87"/>
      <c r="O10" s="88"/>
      <c r="P10" s="1"/>
    </row>
    <row r="11" ht="15.75" customHeight="1">
      <c r="A11" s="40"/>
      <c r="B11" s="141"/>
      <c r="J11" s="47"/>
      <c r="K11" s="84"/>
      <c r="L11" s="85" t="b">
        <v>0</v>
      </c>
      <c r="M11" s="86"/>
      <c r="N11" s="142"/>
      <c r="O11" s="88"/>
      <c r="P11" s="40"/>
    </row>
    <row r="12" ht="15.75" customHeight="1">
      <c r="A12" s="40"/>
      <c r="B12" s="141"/>
      <c r="J12" s="47"/>
      <c r="K12" s="84"/>
      <c r="L12" s="143" t="b">
        <v>0</v>
      </c>
      <c r="M12" s="86"/>
      <c r="N12" s="142"/>
      <c r="O12" s="144"/>
      <c r="P12" s="40"/>
    </row>
    <row r="13" ht="15.75" customHeight="1">
      <c r="A13" s="40"/>
      <c r="B13" s="141"/>
      <c r="J13" s="47"/>
      <c r="K13" s="145"/>
      <c r="L13" s="143" t="b">
        <v>0</v>
      </c>
      <c r="M13" s="146"/>
      <c r="N13" s="142"/>
      <c r="O13" s="144"/>
      <c r="P13" s="40"/>
    </row>
    <row r="14" ht="15.75" customHeight="1">
      <c r="A14" s="40"/>
      <c r="B14" s="141"/>
      <c r="J14" s="47"/>
      <c r="K14" s="145"/>
      <c r="L14" s="85" t="b">
        <v>0</v>
      </c>
      <c r="M14" s="146"/>
      <c r="N14" s="142"/>
      <c r="O14" s="144"/>
      <c r="P14" s="40"/>
    </row>
    <row r="15" ht="15.75" customHeight="1">
      <c r="A15" s="40"/>
      <c r="B15" s="141"/>
      <c r="J15" s="47"/>
      <c r="K15" s="145"/>
      <c r="L15" s="85" t="b">
        <v>0</v>
      </c>
      <c r="M15" s="146"/>
      <c r="N15" s="142"/>
      <c r="O15" s="144"/>
      <c r="P15" s="40"/>
    </row>
    <row r="16" ht="15.75" customHeight="1">
      <c r="A16" s="40"/>
      <c r="B16" s="141"/>
      <c r="J16" s="47"/>
      <c r="K16" s="145"/>
      <c r="L16" s="85" t="b">
        <v>0</v>
      </c>
      <c r="M16" s="146"/>
      <c r="N16" s="142"/>
      <c r="O16" s="144"/>
      <c r="P16" s="40"/>
    </row>
    <row r="17" ht="15.75" customHeight="1">
      <c r="A17" s="40"/>
      <c r="B17" s="141"/>
      <c r="J17" s="47"/>
      <c r="K17" s="145"/>
      <c r="L17" s="143" t="b">
        <v>0</v>
      </c>
      <c r="M17" s="146"/>
      <c r="N17" s="142"/>
      <c r="O17" s="144"/>
      <c r="P17" s="40"/>
    </row>
    <row r="18" ht="15.75" customHeight="1">
      <c r="A18" s="40"/>
      <c r="B18" s="141"/>
      <c r="J18" s="47"/>
      <c r="K18" s="145"/>
      <c r="L18" s="143" t="b">
        <v>0</v>
      </c>
      <c r="M18" s="146"/>
      <c r="N18" s="142"/>
      <c r="O18" s="144"/>
      <c r="P18" s="40"/>
    </row>
    <row r="19" ht="15.75" customHeight="1">
      <c r="A19" s="40"/>
      <c r="B19" s="141"/>
      <c r="J19" s="47"/>
      <c r="K19" s="145"/>
      <c r="L19" s="143" t="b">
        <v>0</v>
      </c>
      <c r="M19" s="146"/>
      <c r="N19" s="142"/>
      <c r="O19" s="144"/>
      <c r="P19" s="40"/>
    </row>
    <row r="20" ht="15.75" customHeight="1">
      <c r="A20" s="40"/>
      <c r="B20" s="141"/>
      <c r="J20" s="47"/>
      <c r="K20" s="145"/>
      <c r="L20" s="143" t="b">
        <v>0</v>
      </c>
      <c r="M20" s="146"/>
      <c r="N20" s="142"/>
      <c r="O20" s="144"/>
      <c r="P20" s="40"/>
    </row>
    <row r="21" ht="15.75" customHeight="1">
      <c r="A21" s="40"/>
      <c r="B21" s="141"/>
      <c r="J21" s="47"/>
      <c r="K21" s="145"/>
      <c r="L21" s="143" t="b">
        <v>0</v>
      </c>
      <c r="M21" s="146"/>
      <c r="N21" s="142"/>
      <c r="O21" s="144"/>
      <c r="P21" s="40"/>
    </row>
    <row r="22" ht="15.75" customHeight="1">
      <c r="A22" s="40"/>
      <c r="B22" s="141"/>
      <c r="J22" s="47"/>
      <c r="K22" s="145"/>
      <c r="L22" s="143" t="b">
        <v>0</v>
      </c>
      <c r="M22" s="146"/>
      <c r="N22" s="142"/>
      <c r="O22" s="144"/>
      <c r="P22" s="40"/>
    </row>
    <row r="23" ht="15.75" customHeight="1">
      <c r="A23" s="40"/>
      <c r="B23" s="141"/>
      <c r="J23" s="47"/>
      <c r="K23" s="145"/>
      <c r="L23" s="143" t="b">
        <v>0</v>
      </c>
      <c r="M23" s="146"/>
      <c r="N23" s="142"/>
      <c r="O23" s="144"/>
      <c r="P23" s="40"/>
    </row>
    <row r="24" ht="15.75" customHeight="1">
      <c r="A24" s="40"/>
      <c r="B24" s="141"/>
      <c r="J24" s="47"/>
      <c r="K24" s="145"/>
      <c r="L24" s="143" t="b">
        <v>0</v>
      </c>
      <c r="M24" s="146"/>
      <c r="N24" s="142"/>
      <c r="O24" s="144"/>
      <c r="P24" s="40"/>
    </row>
    <row r="25" ht="15.75" customHeight="1">
      <c r="A25" s="40"/>
      <c r="B25" s="141"/>
      <c r="J25" s="47"/>
      <c r="K25" s="145"/>
      <c r="L25" s="143" t="b">
        <v>0</v>
      </c>
      <c r="M25" s="146"/>
      <c r="N25" s="142"/>
      <c r="O25" s="144"/>
      <c r="P25" s="40"/>
    </row>
    <row r="26" ht="15.75" customHeight="1">
      <c r="A26" s="40"/>
      <c r="B26" s="141"/>
      <c r="J26" s="47"/>
      <c r="K26" s="145"/>
      <c r="L26" s="143" t="b">
        <v>0</v>
      </c>
      <c r="M26" s="146"/>
      <c r="N26" s="142"/>
      <c r="O26" s="144"/>
      <c r="P26" s="40"/>
    </row>
    <row r="27" ht="15.75" customHeight="1">
      <c r="A27" s="40"/>
      <c r="B27" s="89"/>
      <c r="C27" s="16"/>
      <c r="D27" s="16"/>
      <c r="E27" s="16"/>
      <c r="F27" s="16"/>
      <c r="G27" s="16"/>
      <c r="H27" s="16"/>
      <c r="I27" s="16"/>
      <c r="J27" s="90"/>
      <c r="K27" s="91"/>
      <c r="L27" s="92" t="b">
        <v>0</v>
      </c>
      <c r="M27" s="93"/>
      <c r="N27" s="94"/>
      <c r="O27" s="95"/>
      <c r="P27" s="40"/>
    </row>
    <row r="28" ht="15.75" customHeight="1">
      <c r="A28" s="40"/>
      <c r="B28" s="147" t="s">
        <v>73</v>
      </c>
      <c r="C28" s="148"/>
      <c r="I28" s="1"/>
      <c r="J28" s="101" t="s">
        <v>75</v>
      </c>
      <c r="K28" s="102"/>
      <c r="L28" s="1"/>
      <c r="M28" s="1"/>
      <c r="N28" s="97"/>
      <c r="O28" s="97"/>
      <c r="P28" s="40"/>
    </row>
    <row r="29" ht="15.75" customHeight="1">
      <c r="A29" s="40"/>
      <c r="B29" s="96"/>
      <c r="C29" s="149"/>
      <c r="I29" s="100"/>
      <c r="J29" s="108" t="s">
        <v>63</v>
      </c>
      <c r="K29" s="109"/>
      <c r="L29" s="110"/>
      <c r="M29" s="111" t="s">
        <v>64</v>
      </c>
      <c r="N29" s="109"/>
      <c r="O29" s="102"/>
      <c r="P29" s="40"/>
    </row>
    <row r="30" ht="15.75" customHeight="1">
      <c r="A30" s="40"/>
      <c r="B30" s="19" t="s">
        <v>76</v>
      </c>
      <c r="C30" s="149"/>
      <c r="I30" s="100"/>
      <c r="J30" s="117" t="str">
        <f t="array" ref="J30">GPA({K10:K27,M10:M27,O10:O27},1,2)</f>
        <v>Loading...</v>
      </c>
      <c r="K30" s="118"/>
      <c r="L30" s="110"/>
      <c r="M30" s="119" t="str">
        <f t="array" ref="M30">CREDITSSUM({K10:K27,M10:M27},1,2)</f>
        <v>Loading...</v>
      </c>
      <c r="N30" s="118"/>
      <c r="O30" s="120"/>
      <c r="P30" s="40"/>
    </row>
    <row r="31" ht="31.5" customHeight="1">
      <c r="A31" s="40"/>
      <c r="B31" s="76" t="s">
        <v>53</v>
      </c>
      <c r="C31" s="8"/>
      <c r="D31" s="8"/>
      <c r="E31" s="8"/>
      <c r="F31" s="8"/>
      <c r="G31" s="8"/>
      <c r="H31" s="8"/>
      <c r="I31" s="8"/>
      <c r="J31" s="77"/>
      <c r="K31" s="78" t="s">
        <v>54</v>
      </c>
      <c r="L31" s="79" t="s">
        <v>55</v>
      </c>
      <c r="M31" s="80" t="s">
        <v>56</v>
      </c>
      <c r="N31" s="81"/>
      <c r="O31" s="82" t="s">
        <v>57</v>
      </c>
      <c r="P31" s="1"/>
    </row>
    <row r="32" ht="15.75" customHeight="1">
      <c r="A32" s="40"/>
      <c r="B32" s="83"/>
      <c r="J32" s="47"/>
      <c r="K32" s="84"/>
      <c r="L32" s="85"/>
      <c r="M32" s="86"/>
      <c r="N32" s="87"/>
      <c r="O32" s="88"/>
      <c r="P32" s="1"/>
    </row>
    <row r="33" ht="15.75" customHeight="1">
      <c r="A33" s="40"/>
      <c r="B33" s="141"/>
      <c r="J33" s="47"/>
      <c r="K33" s="84"/>
      <c r="L33" s="85" t="b">
        <v>0</v>
      </c>
      <c r="M33" s="86"/>
      <c r="N33" s="142"/>
      <c r="O33" s="88"/>
      <c r="P33" s="40"/>
    </row>
    <row r="34" ht="15.75" customHeight="1">
      <c r="A34" s="40"/>
      <c r="B34" s="141"/>
      <c r="J34" s="47"/>
      <c r="K34" s="84"/>
      <c r="L34" s="143" t="b">
        <v>0</v>
      </c>
      <c r="M34" s="86"/>
      <c r="N34" s="142"/>
      <c r="O34" s="144"/>
      <c r="P34" s="40"/>
    </row>
    <row r="35" ht="15.75" customHeight="1">
      <c r="A35" s="40"/>
      <c r="B35" s="141"/>
      <c r="J35" s="47"/>
      <c r="K35" s="145"/>
      <c r="L35" s="143" t="b">
        <v>0</v>
      </c>
      <c r="M35" s="146"/>
      <c r="N35" s="142"/>
      <c r="O35" s="144"/>
      <c r="P35" s="40"/>
    </row>
    <row r="36" ht="15.75" customHeight="1">
      <c r="A36" s="40"/>
      <c r="B36" s="141"/>
      <c r="J36" s="47"/>
      <c r="K36" s="145"/>
      <c r="L36" s="85" t="b">
        <v>0</v>
      </c>
      <c r="M36" s="146"/>
      <c r="N36" s="142"/>
      <c r="O36" s="144"/>
      <c r="P36" s="40"/>
    </row>
    <row r="37" ht="15.75" customHeight="1">
      <c r="A37" s="40"/>
      <c r="B37" s="141"/>
      <c r="J37" s="47"/>
      <c r="K37" s="145"/>
      <c r="L37" s="85" t="b">
        <v>0</v>
      </c>
      <c r="M37" s="146"/>
      <c r="N37" s="142"/>
      <c r="O37" s="144"/>
      <c r="P37" s="40"/>
    </row>
    <row r="38" ht="15.75" customHeight="1">
      <c r="A38" s="40"/>
      <c r="B38" s="141"/>
      <c r="J38" s="47"/>
      <c r="K38" s="145"/>
      <c r="L38" s="85" t="b">
        <v>0</v>
      </c>
      <c r="M38" s="146"/>
      <c r="N38" s="142"/>
      <c r="O38" s="144"/>
      <c r="P38" s="40"/>
    </row>
    <row r="39" ht="15.75" customHeight="1">
      <c r="A39" s="40"/>
      <c r="B39" s="141"/>
      <c r="J39" s="47"/>
      <c r="K39" s="146"/>
      <c r="L39" s="85" t="b">
        <v>0</v>
      </c>
      <c r="M39" s="146"/>
      <c r="N39" s="142"/>
      <c r="O39" s="144"/>
      <c r="P39" s="40"/>
    </row>
    <row r="40" ht="15.75" customHeight="1">
      <c r="A40" s="40"/>
      <c r="B40" s="141"/>
      <c r="J40" s="47"/>
      <c r="K40" s="145"/>
      <c r="L40" s="143" t="b">
        <v>0</v>
      </c>
      <c r="M40" s="146"/>
      <c r="N40" s="142"/>
      <c r="O40" s="144"/>
      <c r="P40" s="40"/>
    </row>
    <row r="41" ht="15.75" customHeight="1">
      <c r="A41" s="40"/>
      <c r="B41" s="141"/>
      <c r="J41" s="47"/>
      <c r="K41" s="145"/>
      <c r="L41" s="143" t="b">
        <v>0</v>
      </c>
      <c r="M41" s="146"/>
      <c r="N41" s="142"/>
      <c r="O41" s="144"/>
      <c r="P41" s="40"/>
    </row>
    <row r="42" ht="15.75" customHeight="1">
      <c r="A42" s="40"/>
      <c r="B42" s="141"/>
      <c r="J42" s="47"/>
      <c r="K42" s="145"/>
      <c r="L42" s="143" t="b">
        <v>0</v>
      </c>
      <c r="M42" s="146"/>
      <c r="N42" s="142"/>
      <c r="O42" s="144"/>
      <c r="P42" s="40"/>
    </row>
    <row r="43" ht="15.75" customHeight="1">
      <c r="A43" s="40"/>
      <c r="B43" s="141"/>
      <c r="J43" s="47"/>
      <c r="K43" s="145"/>
      <c r="L43" s="143" t="b">
        <v>0</v>
      </c>
      <c r="M43" s="146"/>
      <c r="N43" s="142"/>
      <c r="O43" s="144"/>
      <c r="P43" s="40"/>
    </row>
    <row r="44" ht="15.75" customHeight="1">
      <c r="A44" s="40"/>
      <c r="B44" s="141"/>
      <c r="J44" s="47"/>
      <c r="K44" s="145"/>
      <c r="L44" s="143" t="b">
        <v>0</v>
      </c>
      <c r="M44" s="146"/>
      <c r="N44" s="142"/>
      <c r="O44" s="144"/>
      <c r="P44" s="40"/>
    </row>
    <row r="45" ht="15.75" customHeight="1">
      <c r="A45" s="40"/>
      <c r="B45" s="141"/>
      <c r="J45" s="47"/>
      <c r="K45" s="145"/>
      <c r="L45" s="143" t="b">
        <v>0</v>
      </c>
      <c r="M45" s="146"/>
      <c r="N45" s="142"/>
      <c r="O45" s="144"/>
      <c r="P45" s="40"/>
    </row>
    <row r="46" ht="15.75" customHeight="1">
      <c r="A46" s="40"/>
      <c r="B46" s="141"/>
      <c r="J46" s="47"/>
      <c r="K46" s="145"/>
      <c r="L46" s="143" t="b">
        <v>0</v>
      </c>
      <c r="M46" s="146"/>
      <c r="N46" s="142"/>
      <c r="O46" s="144"/>
      <c r="P46" s="40"/>
    </row>
    <row r="47" ht="15.75" customHeight="1">
      <c r="A47" s="40"/>
      <c r="B47" s="141"/>
      <c r="J47" s="47"/>
      <c r="K47" s="145"/>
      <c r="L47" s="143" t="b">
        <v>0</v>
      </c>
      <c r="M47" s="146"/>
      <c r="N47" s="142"/>
      <c r="O47" s="144"/>
      <c r="P47" s="40"/>
    </row>
    <row r="48" ht="15.75" customHeight="1">
      <c r="A48" s="40"/>
      <c r="B48" s="141"/>
      <c r="J48" s="47"/>
      <c r="K48" s="145"/>
      <c r="L48" s="143" t="b">
        <v>0</v>
      </c>
      <c r="M48" s="146"/>
      <c r="N48" s="142"/>
      <c r="O48" s="144"/>
      <c r="P48" s="40"/>
    </row>
    <row r="49" ht="15.75" customHeight="1">
      <c r="A49" s="40"/>
      <c r="B49" s="89"/>
      <c r="C49" s="16"/>
      <c r="D49" s="16"/>
      <c r="E49" s="16"/>
      <c r="F49" s="16"/>
      <c r="G49" s="16"/>
      <c r="H49" s="16"/>
      <c r="I49" s="16"/>
      <c r="J49" s="90"/>
      <c r="K49" s="91"/>
      <c r="L49" s="92" t="b">
        <v>0</v>
      </c>
      <c r="M49" s="93"/>
      <c r="N49" s="94"/>
      <c r="O49" s="95"/>
      <c r="P49" s="40"/>
    </row>
    <row r="50" ht="15.75" customHeight="1">
      <c r="A50" s="40"/>
      <c r="B50" s="147" t="s">
        <v>73</v>
      </c>
      <c r="C50" s="148"/>
      <c r="I50" s="1"/>
      <c r="J50" s="101" t="s">
        <v>77</v>
      </c>
      <c r="K50" s="102"/>
      <c r="L50" s="1"/>
      <c r="M50" s="1"/>
      <c r="N50" s="97"/>
      <c r="O50" s="97"/>
      <c r="P50" s="40"/>
    </row>
    <row r="51" ht="15.75" customHeight="1">
      <c r="A51" s="40"/>
      <c r="B51" s="1"/>
      <c r="C51" s="149"/>
      <c r="I51" s="100"/>
      <c r="J51" s="108" t="s">
        <v>63</v>
      </c>
      <c r="K51" s="109"/>
      <c r="L51" s="110"/>
      <c r="M51" s="111" t="s">
        <v>64</v>
      </c>
      <c r="N51" s="109"/>
      <c r="O51" s="102"/>
      <c r="P51" s="40"/>
    </row>
    <row r="52" ht="15.75" customHeight="1">
      <c r="A52" s="40"/>
      <c r="B52" s="98" t="s">
        <v>58</v>
      </c>
      <c r="C52" s="149"/>
      <c r="I52" s="100"/>
      <c r="J52" s="117" t="str">
        <f t="array" ref="J52">GPA({K32:K49,M32:M49,O32:O49},1,2)</f>
        <v>Loading...</v>
      </c>
      <c r="K52" s="118"/>
      <c r="L52" s="110"/>
      <c r="M52" s="119" t="str">
        <f t="array" ref="M52">CREDITSSUM({K32:K49,M32:M49},1,2)</f>
        <v>Loading...</v>
      </c>
      <c r="N52" s="118"/>
      <c r="O52" s="120"/>
      <c r="P52" s="40"/>
    </row>
    <row r="53" ht="15.75" customHeight="1">
      <c r="A53" s="40"/>
      <c r="B53" s="103" t="s">
        <v>60</v>
      </c>
      <c r="C53" s="104" t="s">
        <v>61</v>
      </c>
      <c r="D53" s="105"/>
      <c r="E53" s="106"/>
      <c r="F53" s="104" t="s">
        <v>62</v>
      </c>
      <c r="G53" s="105"/>
      <c r="H53" s="107"/>
      <c r="I53" s="110"/>
      <c r="J53" s="1"/>
      <c r="K53" s="1"/>
      <c r="L53" s="1"/>
      <c r="M53" s="1"/>
      <c r="N53" s="1"/>
      <c r="O53" s="1"/>
      <c r="P53" s="40"/>
    </row>
    <row r="54" ht="15.75" customHeight="1">
      <c r="A54" s="40"/>
      <c r="B54" s="112"/>
      <c r="C54" s="113" t="s">
        <v>65</v>
      </c>
      <c r="D54" s="114" t="s">
        <v>66</v>
      </c>
      <c r="E54" s="115" t="s">
        <v>67</v>
      </c>
      <c r="F54" s="113" t="s">
        <v>65</v>
      </c>
      <c r="G54" s="114" t="s">
        <v>66</v>
      </c>
      <c r="H54" s="116" t="s">
        <v>67</v>
      </c>
      <c r="I54" s="110"/>
      <c r="J54" s="1"/>
      <c r="K54" s="1"/>
      <c r="L54" s="1"/>
      <c r="M54" s="1"/>
      <c r="N54" s="1"/>
      <c r="O54" s="1"/>
      <c r="P54" s="40"/>
    </row>
    <row r="55" ht="15.75" customHeight="1">
      <c r="A55" s="40"/>
      <c r="B55" s="132" t="s">
        <v>68</v>
      </c>
      <c r="C55" s="122"/>
      <c r="D55" s="84"/>
      <c r="E55" s="123"/>
      <c r="F55" s="86"/>
      <c r="G55" s="84"/>
      <c r="H55" s="124"/>
      <c r="I55" s="110"/>
      <c r="J55" s="101" t="s">
        <v>59</v>
      </c>
      <c r="K55" s="102"/>
      <c r="L55" s="1"/>
      <c r="M55" s="1"/>
      <c r="N55" s="97"/>
      <c r="O55" s="97"/>
      <c r="P55" s="40"/>
    </row>
    <row r="56" ht="15.75" customHeight="1">
      <c r="A56" s="40"/>
      <c r="B56" s="132" t="s">
        <v>69</v>
      </c>
      <c r="C56" s="122"/>
      <c r="D56" s="84"/>
      <c r="E56" s="123"/>
      <c r="F56" s="86"/>
      <c r="G56" s="84"/>
      <c r="H56" s="124"/>
      <c r="I56" s="110"/>
      <c r="J56" s="108" t="s">
        <v>63</v>
      </c>
      <c r="K56" s="109"/>
      <c r="L56" s="110"/>
      <c r="M56" s="111" t="s">
        <v>64</v>
      </c>
      <c r="N56" s="109"/>
      <c r="O56" s="102"/>
      <c r="P56" s="40"/>
    </row>
    <row r="57" ht="15.75" customHeight="1">
      <c r="A57" s="40"/>
      <c r="B57" s="121" t="s">
        <v>70</v>
      </c>
      <c r="C57" s="122"/>
      <c r="D57" s="84"/>
      <c r="E57" s="123"/>
      <c r="F57" s="86"/>
      <c r="G57" s="84"/>
      <c r="H57" s="124"/>
      <c r="I57" s="110"/>
      <c r="J57" s="117" t="str">
        <f t="array" ref="J57">GPA({K10:K27,M10:M27,O10:O27;K32:K49,M32:M49,O32:O49},1,2)</f>
        <v>Loading...</v>
      </c>
      <c r="K57" s="118"/>
      <c r="L57" s="110"/>
      <c r="M57" s="119" t="str">
        <f t="array" ref="M57">CREDITSSUM({K10:K27,M10:M27;K32:K49,M32:M49},1,2)</f>
        <v>Loading...</v>
      </c>
      <c r="N57" s="118"/>
      <c r="O57" s="120"/>
      <c r="P57" s="40"/>
    </row>
    <row r="58" ht="15.75" customHeight="1">
      <c r="A58" s="40"/>
      <c r="B58" s="125" t="s">
        <v>71</v>
      </c>
      <c r="C58" s="126"/>
      <c r="D58" s="127"/>
      <c r="E58" s="128"/>
      <c r="F58" s="129"/>
      <c r="G58" s="127"/>
      <c r="H58" s="130"/>
      <c r="I58" s="97"/>
      <c r="J58" s="97"/>
      <c r="K58" s="97"/>
      <c r="L58" s="131"/>
      <c r="M58" s="97"/>
      <c r="N58" s="97"/>
      <c r="O58" s="97"/>
      <c r="P58" s="40"/>
    </row>
    <row r="59" ht="15.75" customHeight="1">
      <c r="A59" s="40"/>
      <c r="B59" s="96"/>
      <c r="C59" s="97"/>
      <c r="D59" s="97"/>
      <c r="E59" s="97"/>
      <c r="F59" s="97"/>
      <c r="G59" s="97"/>
      <c r="H59" s="97"/>
      <c r="I59" s="97"/>
      <c r="J59" s="97"/>
      <c r="K59" s="97"/>
      <c r="L59" s="131"/>
      <c r="M59" s="97"/>
      <c r="N59" s="97"/>
      <c r="O59" s="97"/>
      <c r="P59" s="40"/>
    </row>
    <row r="60" ht="15.75" customHeight="1">
      <c r="A60" s="40"/>
      <c r="B60" s="96"/>
      <c r="C60" s="97"/>
      <c r="D60" s="97"/>
      <c r="E60" s="97"/>
      <c r="F60" s="97"/>
      <c r="G60" s="97"/>
      <c r="H60" s="97"/>
      <c r="I60" s="97"/>
      <c r="J60" s="97"/>
      <c r="K60" s="97"/>
      <c r="L60" s="131"/>
      <c r="M60" s="97"/>
      <c r="N60" s="97"/>
      <c r="O60" s="97"/>
      <c r="P60" s="40"/>
    </row>
  </sheetData>
  <mergeCells count="76">
    <mergeCell ref="B39:J39"/>
    <mergeCell ref="B40:J40"/>
    <mergeCell ref="B41:J41"/>
    <mergeCell ref="B42:J42"/>
    <mergeCell ref="B43:J43"/>
    <mergeCell ref="B44:J44"/>
    <mergeCell ref="B45:J45"/>
    <mergeCell ref="J51:K51"/>
    <mergeCell ref="J52:K52"/>
    <mergeCell ref="J55:K55"/>
    <mergeCell ref="J56:K56"/>
    <mergeCell ref="M56:O56"/>
    <mergeCell ref="J57:K57"/>
    <mergeCell ref="M57:O57"/>
    <mergeCell ref="C50:H52"/>
    <mergeCell ref="B53:B54"/>
    <mergeCell ref="C53:E53"/>
    <mergeCell ref="F53:H53"/>
    <mergeCell ref="B46:J46"/>
    <mergeCell ref="B47:J47"/>
    <mergeCell ref="B48:J48"/>
    <mergeCell ref="B49:J49"/>
    <mergeCell ref="J50:K50"/>
    <mergeCell ref="M51:O51"/>
    <mergeCell ref="M52:O52"/>
    <mergeCell ref="C1:H2"/>
    <mergeCell ref="I1:O2"/>
    <mergeCell ref="C3:E3"/>
    <mergeCell ref="F3:H3"/>
    <mergeCell ref="I3:J3"/>
    <mergeCell ref="K3:O3"/>
    <mergeCell ref="C4:E4"/>
    <mergeCell ref="K4:O4"/>
    <mergeCell ref="F4:H4"/>
    <mergeCell ref="I4:J4"/>
    <mergeCell ref="C5:E6"/>
    <mergeCell ref="F5:H6"/>
    <mergeCell ref="I5:J6"/>
    <mergeCell ref="K5:O6"/>
    <mergeCell ref="C7:E8"/>
    <mergeCell ref="K7:O8"/>
    <mergeCell ref="F7:H8"/>
    <mergeCell ref="I7:J8"/>
    <mergeCell ref="B9:J9"/>
    <mergeCell ref="B10:J10"/>
    <mergeCell ref="B11:J11"/>
    <mergeCell ref="B12:J12"/>
    <mergeCell ref="B13:J13"/>
    <mergeCell ref="B14:J14"/>
    <mergeCell ref="B15:J15"/>
    <mergeCell ref="B16:J16"/>
    <mergeCell ref="B17:J17"/>
    <mergeCell ref="B18:J18"/>
    <mergeCell ref="B19:J19"/>
    <mergeCell ref="B20:J20"/>
    <mergeCell ref="B21:J21"/>
    <mergeCell ref="B22:J22"/>
    <mergeCell ref="B23:J23"/>
    <mergeCell ref="B24:J24"/>
    <mergeCell ref="B25:J25"/>
    <mergeCell ref="B26:J26"/>
    <mergeCell ref="B27:J27"/>
    <mergeCell ref="C28:H30"/>
    <mergeCell ref="J28:K28"/>
    <mergeCell ref="J29:K29"/>
    <mergeCell ref="M29:O29"/>
    <mergeCell ref="J30:K30"/>
    <mergeCell ref="M30:O30"/>
    <mergeCell ref="B31:J31"/>
    <mergeCell ref="B32:J32"/>
    <mergeCell ref="B33:J33"/>
    <mergeCell ref="B34:J34"/>
    <mergeCell ref="B35:J35"/>
    <mergeCell ref="B36:J36"/>
    <mergeCell ref="B37:J37"/>
    <mergeCell ref="B38:J38"/>
  </mergeCells>
  <dataValidations>
    <dataValidation type="custom" allowBlank="1" showDropDown="1" showInputMessage="1" showErrorMessage="1" prompt="Enter a number" sqref="K10:K18 O10:O27 K32:K41 O32:O49">
      <formula1>ISNUMBER(K10)</formula1>
    </dataValidation>
    <dataValidation type="list" allowBlank="1" showInputMessage="1" showErrorMessage="1" prompt="Click and enter a valid scale from the list of items. The valid scales are Letter, 0-100, 0-4, and None" sqref="B3">
      <formula1>"Letter,0-4,0-100,None"</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8.88"/>
    <col customWidth="1" min="3" max="8" width="6.38"/>
    <col customWidth="1" hidden="1" min="9" max="9" width="18.88"/>
    <col customWidth="1" min="10" max="10" width="18.88"/>
    <col customWidth="1" min="11" max="11" width="6.38"/>
    <col customWidth="1" hidden="1" min="12" max="12" width="18.88"/>
    <col customWidth="1" min="13" max="13" width="6.38"/>
    <col customWidth="1" hidden="1" min="14" max="14" width="6.38"/>
    <col customWidth="1" min="15" max="15" width="6.38"/>
  </cols>
  <sheetData>
    <row r="1" ht="15.75" customHeight="1">
      <c r="A1" s="58"/>
      <c r="B1" s="1"/>
      <c r="C1" s="71" t="s">
        <v>5</v>
      </c>
      <c r="I1" s="58" t="s">
        <v>6</v>
      </c>
      <c r="P1" s="72"/>
    </row>
    <row r="2" ht="15.75" customHeight="1">
      <c r="A2" s="58"/>
      <c r="B2" s="74" t="s">
        <v>50</v>
      </c>
      <c r="P2" s="72"/>
    </row>
    <row r="3" ht="15.75" customHeight="1">
      <c r="A3" s="73"/>
      <c r="B3" s="75" t="s">
        <v>51</v>
      </c>
      <c r="C3" s="59" t="s">
        <v>8</v>
      </c>
      <c r="F3" s="60" t="str">
        <f>'Getting Started'!$G$10</f>
        <v/>
      </c>
      <c r="I3" s="59" t="s">
        <v>9</v>
      </c>
      <c r="K3" s="60" t="str">
        <f>'Getting Started'!$I$10</f>
        <v/>
      </c>
      <c r="P3" s="40"/>
    </row>
    <row r="4" ht="15.75" customHeight="1">
      <c r="A4" s="73"/>
      <c r="B4" s="133" t="s">
        <v>72</v>
      </c>
      <c r="C4" s="59" t="s">
        <v>11</v>
      </c>
      <c r="F4" s="61" t="str">
        <f>'Getting Started'!$G$11</f>
        <v/>
      </c>
      <c r="I4" s="59" t="s">
        <v>12</v>
      </c>
      <c r="K4" s="60" t="str">
        <f>'Getting Started'!$I$11</f>
        <v/>
      </c>
      <c r="P4" s="40"/>
    </row>
    <row r="5" ht="15.75" customHeight="1">
      <c r="A5" s="73"/>
      <c r="B5" s="40" t="str">
        <f t="array" ref="B5">GPA({'9th Grade (Semester)'!K10:K27,'9th Grade (Semester)'!M10:M27,'9th Grade (Semester)'!O10:O27;'9th Grade (Semester)'!K32:K49,'9th Grade (Semester)'!M32:M49,'9th Grade (Semester)'!O32:O49;'10th Grade (Semester)'!K10:K27,'10th Grade (Semester)'!M10:M27,'10th Grade (Semester)'!O10:O27;'10th Grade (Semester)'!K32:K49,'10th Grade (Semester)'!M32:M49,'10th Grade (Semester)'!O32:O49;K10:K27,M10:M27,O10:O27;K32:K49,M32:M49,O32:O49},1,2)</f>
        <v>Loading...</v>
      </c>
      <c r="C5" s="59" t="s">
        <v>13</v>
      </c>
      <c r="F5" s="60" t="str">
        <f>'Getting Started'!$G$12</f>
        <v/>
      </c>
      <c r="I5" s="59" t="s">
        <v>14</v>
      </c>
      <c r="K5" s="60" t="str">
        <f>'Getting Started'!$I$12</f>
        <v/>
      </c>
      <c r="P5" s="40"/>
    </row>
    <row r="6" ht="15.75" customHeight="1">
      <c r="A6" s="73"/>
      <c r="B6" s="133" t="s">
        <v>64</v>
      </c>
      <c r="P6" s="40"/>
    </row>
    <row r="7" ht="15.75" customHeight="1">
      <c r="A7" s="73"/>
      <c r="B7" s="40" t="str">
        <f>IF('10th Grade (Semester)'!B7+M57 = 0, "", '10th Grade (Semester)'!B7+M57)</f>
        <v>Loading...</v>
      </c>
      <c r="C7" s="59" t="s">
        <v>15</v>
      </c>
      <c r="F7" s="62" t="str">
        <f>'Getting Started'!$G$14</f>
        <v/>
      </c>
      <c r="I7" s="59" t="s">
        <v>16</v>
      </c>
      <c r="K7" s="60" t="str">
        <f>'Getting Started'!$I$14</f>
        <v/>
      </c>
      <c r="P7" s="40"/>
    </row>
    <row r="8" ht="15.75" customHeight="1">
      <c r="A8" s="73"/>
      <c r="B8" s="19" t="s">
        <v>74</v>
      </c>
      <c r="P8" s="40"/>
    </row>
    <row r="9" ht="31.5" customHeight="1">
      <c r="A9" s="40"/>
      <c r="B9" s="76" t="s">
        <v>53</v>
      </c>
      <c r="C9" s="8"/>
      <c r="D9" s="8"/>
      <c r="E9" s="8"/>
      <c r="F9" s="8"/>
      <c r="G9" s="8"/>
      <c r="H9" s="8"/>
      <c r="I9" s="8"/>
      <c r="J9" s="77"/>
      <c r="K9" s="78" t="s">
        <v>54</v>
      </c>
      <c r="L9" s="79" t="s">
        <v>55</v>
      </c>
      <c r="M9" s="80" t="s">
        <v>56</v>
      </c>
      <c r="N9" s="81"/>
      <c r="O9" s="82" t="s">
        <v>57</v>
      </c>
      <c r="P9" s="1"/>
    </row>
    <row r="10" ht="15.75" customHeight="1">
      <c r="A10" s="40"/>
      <c r="B10" s="83"/>
      <c r="J10" s="47"/>
      <c r="K10" s="84"/>
      <c r="L10" s="85"/>
      <c r="M10" s="86"/>
      <c r="N10" s="87"/>
      <c r="O10" s="88"/>
      <c r="P10" s="1"/>
    </row>
    <row r="11" ht="15.75" customHeight="1">
      <c r="A11" s="40"/>
      <c r="B11" s="141"/>
      <c r="J11" s="47"/>
      <c r="K11" s="84"/>
      <c r="L11" s="85" t="b">
        <v>0</v>
      </c>
      <c r="M11" s="86"/>
      <c r="N11" s="142"/>
      <c r="O11" s="88"/>
      <c r="P11" s="40"/>
    </row>
    <row r="12" ht="15.75" customHeight="1">
      <c r="A12" s="40"/>
      <c r="B12" s="141"/>
      <c r="J12" s="47"/>
      <c r="K12" s="84"/>
      <c r="L12" s="143" t="b">
        <v>0</v>
      </c>
      <c r="M12" s="86"/>
      <c r="N12" s="142"/>
      <c r="O12" s="144"/>
      <c r="P12" s="40"/>
    </row>
    <row r="13" ht="15.75" customHeight="1">
      <c r="A13" s="40"/>
      <c r="B13" s="141"/>
      <c r="J13" s="47"/>
      <c r="K13" s="145"/>
      <c r="L13" s="143" t="b">
        <v>0</v>
      </c>
      <c r="M13" s="146"/>
      <c r="N13" s="142"/>
      <c r="O13" s="144"/>
      <c r="P13" s="40"/>
    </row>
    <row r="14" ht="15.75" customHeight="1">
      <c r="A14" s="40"/>
      <c r="B14" s="141"/>
      <c r="J14" s="47"/>
      <c r="K14" s="145"/>
      <c r="L14" s="85" t="b">
        <v>0</v>
      </c>
      <c r="M14" s="146"/>
      <c r="N14" s="142"/>
      <c r="O14" s="144"/>
      <c r="P14" s="40"/>
    </row>
    <row r="15" ht="15.75" customHeight="1">
      <c r="A15" s="40"/>
      <c r="B15" s="141"/>
      <c r="J15" s="47"/>
      <c r="K15" s="145"/>
      <c r="L15" s="85" t="b">
        <v>0</v>
      </c>
      <c r="M15" s="146"/>
      <c r="N15" s="142"/>
      <c r="O15" s="144"/>
      <c r="P15" s="40"/>
    </row>
    <row r="16" ht="15.75" customHeight="1">
      <c r="A16" s="40"/>
      <c r="B16" s="141"/>
      <c r="J16" s="47"/>
      <c r="K16" s="145"/>
      <c r="L16" s="85" t="b">
        <v>0</v>
      </c>
      <c r="M16" s="146"/>
      <c r="N16" s="142"/>
      <c r="O16" s="144"/>
      <c r="P16" s="40"/>
    </row>
    <row r="17" ht="15.75" customHeight="1">
      <c r="A17" s="40"/>
      <c r="B17" s="141"/>
      <c r="J17" s="47"/>
      <c r="K17" s="145"/>
      <c r="L17" s="143" t="b">
        <v>0</v>
      </c>
      <c r="M17" s="146"/>
      <c r="N17" s="142"/>
      <c r="O17" s="144"/>
      <c r="P17" s="40"/>
    </row>
    <row r="18" ht="15.75" customHeight="1">
      <c r="A18" s="40"/>
      <c r="B18" s="141"/>
      <c r="J18" s="47"/>
      <c r="K18" s="145"/>
      <c r="L18" s="143" t="b">
        <v>0</v>
      </c>
      <c r="M18" s="146"/>
      <c r="N18" s="142"/>
      <c r="O18" s="144"/>
      <c r="P18" s="40"/>
    </row>
    <row r="19" ht="15.75" customHeight="1">
      <c r="A19" s="40"/>
      <c r="B19" s="141"/>
      <c r="J19" s="47"/>
      <c r="K19" s="145"/>
      <c r="L19" s="143" t="b">
        <v>0</v>
      </c>
      <c r="M19" s="146"/>
      <c r="N19" s="142"/>
      <c r="O19" s="144"/>
      <c r="P19" s="40"/>
    </row>
    <row r="20" ht="15.75" customHeight="1">
      <c r="A20" s="40"/>
      <c r="B20" s="141"/>
      <c r="J20" s="47"/>
      <c r="K20" s="145"/>
      <c r="L20" s="143" t="b">
        <v>0</v>
      </c>
      <c r="M20" s="146"/>
      <c r="N20" s="142"/>
      <c r="O20" s="144"/>
      <c r="P20" s="40"/>
    </row>
    <row r="21" ht="15.75" customHeight="1">
      <c r="A21" s="40"/>
      <c r="B21" s="141"/>
      <c r="J21" s="47"/>
      <c r="K21" s="145"/>
      <c r="L21" s="143" t="b">
        <v>0</v>
      </c>
      <c r="M21" s="146"/>
      <c r="N21" s="142"/>
      <c r="O21" s="144"/>
      <c r="P21" s="40"/>
    </row>
    <row r="22" ht="15.75" customHeight="1">
      <c r="A22" s="40"/>
      <c r="B22" s="141"/>
      <c r="J22" s="47"/>
      <c r="K22" s="145"/>
      <c r="L22" s="143" t="b">
        <v>0</v>
      </c>
      <c r="M22" s="146"/>
      <c r="N22" s="142"/>
      <c r="O22" s="144"/>
      <c r="P22" s="40"/>
    </row>
    <row r="23" ht="15.75" customHeight="1">
      <c r="A23" s="40"/>
      <c r="B23" s="141"/>
      <c r="J23" s="47"/>
      <c r="K23" s="145"/>
      <c r="L23" s="143" t="b">
        <v>0</v>
      </c>
      <c r="M23" s="146"/>
      <c r="N23" s="142"/>
      <c r="O23" s="144"/>
      <c r="P23" s="40"/>
    </row>
    <row r="24" ht="15.75" customHeight="1">
      <c r="A24" s="40"/>
      <c r="B24" s="141"/>
      <c r="J24" s="47"/>
      <c r="K24" s="145"/>
      <c r="L24" s="143" t="b">
        <v>0</v>
      </c>
      <c r="M24" s="146"/>
      <c r="N24" s="142"/>
      <c r="O24" s="144"/>
      <c r="P24" s="40"/>
    </row>
    <row r="25" ht="15.75" customHeight="1">
      <c r="A25" s="40"/>
      <c r="B25" s="141"/>
      <c r="J25" s="47"/>
      <c r="K25" s="145"/>
      <c r="L25" s="143" t="b">
        <v>0</v>
      </c>
      <c r="M25" s="146"/>
      <c r="N25" s="142"/>
      <c r="O25" s="144"/>
      <c r="P25" s="40"/>
    </row>
    <row r="26" ht="15.75" customHeight="1">
      <c r="A26" s="40"/>
      <c r="B26" s="141"/>
      <c r="J26" s="47"/>
      <c r="K26" s="145"/>
      <c r="L26" s="143" t="b">
        <v>0</v>
      </c>
      <c r="M26" s="146"/>
      <c r="N26" s="142"/>
      <c r="O26" s="144"/>
      <c r="P26" s="40"/>
    </row>
    <row r="27" ht="15.75" customHeight="1">
      <c r="A27" s="40"/>
      <c r="B27" s="89"/>
      <c r="C27" s="16"/>
      <c r="D27" s="16"/>
      <c r="E27" s="16"/>
      <c r="F27" s="16"/>
      <c r="G27" s="16"/>
      <c r="H27" s="16"/>
      <c r="I27" s="16"/>
      <c r="J27" s="90"/>
      <c r="K27" s="91"/>
      <c r="L27" s="92" t="b">
        <v>0</v>
      </c>
      <c r="M27" s="93"/>
      <c r="N27" s="94"/>
      <c r="O27" s="95"/>
      <c r="P27" s="40"/>
    </row>
    <row r="28" ht="15.75" customHeight="1">
      <c r="A28" s="40"/>
      <c r="B28" s="147" t="s">
        <v>73</v>
      </c>
      <c r="C28" s="148"/>
      <c r="I28" s="1"/>
      <c r="J28" s="101" t="s">
        <v>75</v>
      </c>
      <c r="K28" s="102"/>
      <c r="L28" s="1"/>
      <c r="M28" s="1"/>
      <c r="N28" s="97"/>
      <c r="O28" s="97"/>
      <c r="P28" s="40"/>
    </row>
    <row r="29" ht="15.75" customHeight="1">
      <c r="A29" s="40"/>
      <c r="B29" s="96"/>
      <c r="C29" s="149"/>
      <c r="I29" s="100"/>
      <c r="J29" s="108" t="s">
        <v>63</v>
      </c>
      <c r="K29" s="109"/>
      <c r="L29" s="110"/>
      <c r="M29" s="111" t="s">
        <v>64</v>
      </c>
      <c r="N29" s="109"/>
      <c r="O29" s="102"/>
      <c r="P29" s="40"/>
    </row>
    <row r="30" ht="15.75" customHeight="1">
      <c r="A30" s="40"/>
      <c r="B30" s="19" t="s">
        <v>76</v>
      </c>
      <c r="C30" s="149"/>
      <c r="I30" s="100"/>
      <c r="J30" s="117" t="str">
        <f t="array" ref="J30">GPA({K10:K27,M10:M27,O10:O27},1,2)</f>
        <v>Loading...</v>
      </c>
      <c r="K30" s="118"/>
      <c r="L30" s="110"/>
      <c r="M30" s="119" t="str">
        <f t="array" ref="M30">CREDITSSUM({K10:K27,M10:M27},1,2)</f>
        <v>Loading...</v>
      </c>
      <c r="N30" s="118"/>
      <c r="O30" s="120"/>
      <c r="P30" s="40"/>
    </row>
    <row r="31" ht="31.5" customHeight="1">
      <c r="A31" s="40"/>
      <c r="B31" s="76" t="s">
        <v>53</v>
      </c>
      <c r="C31" s="8"/>
      <c r="D31" s="8"/>
      <c r="E31" s="8"/>
      <c r="F31" s="8"/>
      <c r="G31" s="8"/>
      <c r="H31" s="8"/>
      <c r="I31" s="8"/>
      <c r="J31" s="77"/>
      <c r="K31" s="78" t="s">
        <v>54</v>
      </c>
      <c r="L31" s="79" t="s">
        <v>55</v>
      </c>
      <c r="M31" s="80" t="s">
        <v>56</v>
      </c>
      <c r="N31" s="81"/>
      <c r="O31" s="82" t="s">
        <v>57</v>
      </c>
      <c r="P31" s="1"/>
    </row>
    <row r="32" ht="15.75" customHeight="1">
      <c r="A32" s="40"/>
      <c r="B32" s="83"/>
      <c r="J32" s="47"/>
      <c r="K32" s="84"/>
      <c r="L32" s="85"/>
      <c r="M32" s="86"/>
      <c r="N32" s="87"/>
      <c r="O32" s="88"/>
      <c r="P32" s="1"/>
    </row>
    <row r="33" ht="15.75" customHeight="1">
      <c r="A33" s="40"/>
      <c r="B33" s="141"/>
      <c r="J33" s="47"/>
      <c r="K33" s="84"/>
      <c r="L33" s="85" t="b">
        <v>0</v>
      </c>
      <c r="M33" s="86"/>
      <c r="N33" s="142"/>
      <c r="O33" s="88"/>
      <c r="P33" s="40"/>
    </row>
    <row r="34" ht="15.75" customHeight="1">
      <c r="A34" s="40"/>
      <c r="B34" s="141"/>
      <c r="J34" s="47"/>
      <c r="K34" s="84"/>
      <c r="L34" s="143" t="b">
        <v>0</v>
      </c>
      <c r="M34" s="86"/>
      <c r="N34" s="142"/>
      <c r="O34" s="144"/>
      <c r="P34" s="40"/>
    </row>
    <row r="35" ht="15.75" customHeight="1">
      <c r="A35" s="40"/>
      <c r="B35" s="141"/>
      <c r="J35" s="47"/>
      <c r="K35" s="145"/>
      <c r="L35" s="143" t="b">
        <v>0</v>
      </c>
      <c r="M35" s="146"/>
      <c r="N35" s="142"/>
      <c r="O35" s="144"/>
      <c r="P35" s="40"/>
    </row>
    <row r="36" ht="15.75" customHeight="1">
      <c r="A36" s="40"/>
      <c r="B36" s="141"/>
      <c r="J36" s="47"/>
      <c r="K36" s="145"/>
      <c r="L36" s="85" t="b">
        <v>0</v>
      </c>
      <c r="M36" s="146"/>
      <c r="N36" s="142"/>
      <c r="O36" s="144"/>
      <c r="P36" s="40"/>
    </row>
    <row r="37" ht="15.75" customHeight="1">
      <c r="A37" s="40"/>
      <c r="B37" s="141"/>
      <c r="J37" s="47"/>
      <c r="K37" s="145"/>
      <c r="L37" s="85" t="b">
        <v>0</v>
      </c>
      <c r="M37" s="146"/>
      <c r="N37" s="142"/>
      <c r="O37" s="144"/>
      <c r="P37" s="40"/>
    </row>
    <row r="38" ht="15.75" customHeight="1">
      <c r="A38" s="40"/>
      <c r="B38" s="141"/>
      <c r="J38" s="47"/>
      <c r="K38" s="145"/>
      <c r="L38" s="85" t="b">
        <v>0</v>
      </c>
      <c r="M38" s="146"/>
      <c r="N38" s="142"/>
      <c r="O38" s="144"/>
      <c r="P38" s="40"/>
    </row>
    <row r="39" ht="15.75" customHeight="1">
      <c r="A39" s="40"/>
      <c r="B39" s="141"/>
      <c r="J39" s="47"/>
      <c r="K39" s="146"/>
      <c r="L39" s="85" t="b">
        <v>0</v>
      </c>
      <c r="M39" s="146"/>
      <c r="N39" s="142"/>
      <c r="O39" s="144"/>
      <c r="P39" s="40"/>
    </row>
    <row r="40" ht="15.75" customHeight="1">
      <c r="A40" s="40"/>
      <c r="B40" s="141"/>
      <c r="J40" s="47"/>
      <c r="K40" s="145"/>
      <c r="L40" s="143" t="b">
        <v>0</v>
      </c>
      <c r="M40" s="146"/>
      <c r="N40" s="142"/>
      <c r="O40" s="144"/>
      <c r="P40" s="40"/>
    </row>
    <row r="41" ht="15.75" customHeight="1">
      <c r="A41" s="40"/>
      <c r="B41" s="141"/>
      <c r="J41" s="47"/>
      <c r="K41" s="145"/>
      <c r="L41" s="143" t="b">
        <v>0</v>
      </c>
      <c r="M41" s="146"/>
      <c r="N41" s="142"/>
      <c r="O41" s="144"/>
      <c r="P41" s="40"/>
    </row>
    <row r="42" ht="15.75" customHeight="1">
      <c r="A42" s="40"/>
      <c r="B42" s="141"/>
      <c r="J42" s="47"/>
      <c r="K42" s="145"/>
      <c r="L42" s="143" t="b">
        <v>0</v>
      </c>
      <c r="M42" s="146"/>
      <c r="N42" s="142"/>
      <c r="O42" s="144"/>
      <c r="P42" s="40"/>
    </row>
    <row r="43" ht="15.75" customHeight="1">
      <c r="A43" s="40"/>
      <c r="B43" s="141"/>
      <c r="J43" s="47"/>
      <c r="K43" s="145"/>
      <c r="L43" s="143" t="b">
        <v>0</v>
      </c>
      <c r="M43" s="146"/>
      <c r="N43" s="142"/>
      <c r="O43" s="144"/>
      <c r="P43" s="40"/>
    </row>
    <row r="44" ht="15.75" customHeight="1">
      <c r="A44" s="40"/>
      <c r="B44" s="141"/>
      <c r="J44" s="47"/>
      <c r="K44" s="145"/>
      <c r="L44" s="143" t="b">
        <v>0</v>
      </c>
      <c r="M44" s="146"/>
      <c r="N44" s="142"/>
      <c r="O44" s="144"/>
      <c r="P44" s="40"/>
    </row>
    <row r="45" ht="15.75" customHeight="1">
      <c r="A45" s="40"/>
      <c r="B45" s="141"/>
      <c r="J45" s="47"/>
      <c r="K45" s="145"/>
      <c r="L45" s="143" t="b">
        <v>0</v>
      </c>
      <c r="M45" s="146"/>
      <c r="N45" s="142"/>
      <c r="O45" s="144"/>
      <c r="P45" s="40"/>
    </row>
    <row r="46" ht="15.75" customHeight="1">
      <c r="A46" s="40"/>
      <c r="B46" s="141"/>
      <c r="J46" s="47"/>
      <c r="K46" s="145"/>
      <c r="L46" s="143" t="b">
        <v>0</v>
      </c>
      <c r="M46" s="146"/>
      <c r="N46" s="142"/>
      <c r="O46" s="144"/>
      <c r="P46" s="40"/>
    </row>
    <row r="47" ht="15.75" customHeight="1">
      <c r="A47" s="40"/>
      <c r="B47" s="141"/>
      <c r="J47" s="47"/>
      <c r="K47" s="145"/>
      <c r="L47" s="143" t="b">
        <v>0</v>
      </c>
      <c r="M47" s="146"/>
      <c r="N47" s="142"/>
      <c r="O47" s="144"/>
      <c r="P47" s="40"/>
    </row>
    <row r="48" ht="15.75" customHeight="1">
      <c r="A48" s="40"/>
      <c r="B48" s="141"/>
      <c r="J48" s="47"/>
      <c r="K48" s="145"/>
      <c r="L48" s="143" t="b">
        <v>0</v>
      </c>
      <c r="M48" s="146"/>
      <c r="N48" s="142"/>
      <c r="O48" s="144"/>
      <c r="P48" s="40"/>
    </row>
    <row r="49" ht="15.75" customHeight="1">
      <c r="A49" s="40"/>
      <c r="B49" s="89"/>
      <c r="C49" s="16"/>
      <c r="D49" s="16"/>
      <c r="E49" s="16"/>
      <c r="F49" s="16"/>
      <c r="G49" s="16"/>
      <c r="H49" s="16"/>
      <c r="I49" s="16"/>
      <c r="J49" s="90"/>
      <c r="K49" s="91"/>
      <c r="L49" s="92" t="b">
        <v>0</v>
      </c>
      <c r="M49" s="93"/>
      <c r="N49" s="94"/>
      <c r="O49" s="95"/>
      <c r="P49" s="40"/>
    </row>
    <row r="50" ht="15.75" customHeight="1">
      <c r="A50" s="40"/>
      <c r="B50" s="147" t="s">
        <v>73</v>
      </c>
      <c r="C50" s="148"/>
      <c r="I50" s="1"/>
      <c r="J50" s="101" t="s">
        <v>77</v>
      </c>
      <c r="K50" s="102"/>
      <c r="L50" s="1"/>
      <c r="M50" s="1"/>
      <c r="N50" s="97"/>
      <c r="O50" s="97"/>
      <c r="P50" s="40"/>
    </row>
    <row r="51" ht="15.75" customHeight="1">
      <c r="A51" s="40"/>
      <c r="B51" s="1"/>
      <c r="C51" s="149"/>
      <c r="I51" s="100"/>
      <c r="J51" s="108" t="s">
        <v>63</v>
      </c>
      <c r="K51" s="109"/>
      <c r="L51" s="110"/>
      <c r="M51" s="111" t="s">
        <v>64</v>
      </c>
      <c r="N51" s="109"/>
      <c r="O51" s="102"/>
      <c r="P51" s="40"/>
    </row>
    <row r="52" ht="15.75" customHeight="1">
      <c r="A52" s="40"/>
      <c r="B52" s="98" t="s">
        <v>58</v>
      </c>
      <c r="C52" s="149"/>
      <c r="I52" s="100"/>
      <c r="J52" s="117" t="str">
        <f t="array" ref="J52">GPA({K32:K49,M32:M49,O32:O49},1,2)</f>
        <v>Loading...</v>
      </c>
      <c r="K52" s="118"/>
      <c r="L52" s="110"/>
      <c r="M52" s="119" t="str">
        <f t="array" ref="M52">CREDITSSUM({K32:K49,M32:M49},1,2)</f>
        <v>Loading...</v>
      </c>
      <c r="N52" s="118"/>
      <c r="O52" s="120"/>
      <c r="P52" s="40"/>
    </row>
    <row r="53" ht="15.75" customHeight="1">
      <c r="A53" s="40"/>
      <c r="B53" s="103" t="s">
        <v>60</v>
      </c>
      <c r="C53" s="104" t="s">
        <v>61</v>
      </c>
      <c r="D53" s="105"/>
      <c r="E53" s="106"/>
      <c r="F53" s="104" t="s">
        <v>62</v>
      </c>
      <c r="G53" s="105"/>
      <c r="H53" s="107"/>
      <c r="I53" s="110"/>
      <c r="J53" s="1"/>
      <c r="K53" s="1"/>
      <c r="L53" s="1"/>
      <c r="M53" s="1"/>
      <c r="N53" s="1"/>
      <c r="O53" s="1"/>
      <c r="P53" s="40"/>
    </row>
    <row r="54" ht="15.75" customHeight="1">
      <c r="A54" s="40"/>
      <c r="B54" s="112"/>
      <c r="C54" s="113" t="s">
        <v>65</v>
      </c>
      <c r="D54" s="114" t="s">
        <v>66</v>
      </c>
      <c r="E54" s="115" t="s">
        <v>67</v>
      </c>
      <c r="F54" s="113" t="s">
        <v>65</v>
      </c>
      <c r="G54" s="114" t="s">
        <v>66</v>
      </c>
      <c r="H54" s="116" t="s">
        <v>67</v>
      </c>
      <c r="I54" s="110"/>
      <c r="J54" s="1"/>
      <c r="K54" s="1"/>
      <c r="L54" s="1"/>
      <c r="M54" s="1"/>
      <c r="N54" s="1"/>
      <c r="O54" s="1"/>
      <c r="P54" s="40"/>
    </row>
    <row r="55" ht="15.75" customHeight="1">
      <c r="A55" s="40"/>
      <c r="B55" s="132" t="s">
        <v>68</v>
      </c>
      <c r="C55" s="122"/>
      <c r="D55" s="84"/>
      <c r="E55" s="123"/>
      <c r="F55" s="86"/>
      <c r="G55" s="84"/>
      <c r="H55" s="124"/>
      <c r="I55" s="110"/>
      <c r="J55" s="101" t="s">
        <v>59</v>
      </c>
      <c r="K55" s="102"/>
      <c r="L55" s="1"/>
      <c r="M55" s="1"/>
      <c r="N55" s="97"/>
      <c r="O55" s="97"/>
      <c r="P55" s="40"/>
    </row>
    <row r="56" ht="15.75" customHeight="1">
      <c r="A56" s="40"/>
      <c r="B56" s="132" t="s">
        <v>69</v>
      </c>
      <c r="C56" s="122"/>
      <c r="D56" s="84"/>
      <c r="E56" s="123"/>
      <c r="F56" s="86"/>
      <c r="G56" s="84"/>
      <c r="H56" s="124"/>
      <c r="I56" s="110"/>
      <c r="J56" s="108" t="s">
        <v>63</v>
      </c>
      <c r="K56" s="109"/>
      <c r="L56" s="110"/>
      <c r="M56" s="111" t="s">
        <v>64</v>
      </c>
      <c r="N56" s="109"/>
      <c r="O56" s="102"/>
      <c r="P56" s="40"/>
    </row>
    <row r="57" ht="15.75" customHeight="1">
      <c r="A57" s="40"/>
      <c r="B57" s="121" t="s">
        <v>70</v>
      </c>
      <c r="C57" s="122"/>
      <c r="D57" s="84"/>
      <c r="E57" s="123"/>
      <c r="F57" s="86"/>
      <c r="G57" s="84"/>
      <c r="H57" s="124"/>
      <c r="I57" s="110"/>
      <c r="J57" s="117" t="str">
        <f t="array" ref="J57">GPA({K10:K27,M10:M27,O10:O27;K32:K49,M32:M49,O32:O49},1,2)</f>
        <v>Loading...</v>
      </c>
      <c r="K57" s="118"/>
      <c r="L57" s="110"/>
      <c r="M57" s="119" t="str">
        <f t="array" ref="M57">CREDITSSUM({K10:K27,M10:M27;K32:K49,M32:M49},1,2)</f>
        <v>Loading...</v>
      </c>
      <c r="N57" s="118"/>
      <c r="O57" s="120"/>
      <c r="P57" s="40"/>
    </row>
    <row r="58" ht="15.75" customHeight="1">
      <c r="A58" s="40"/>
      <c r="B58" s="125" t="s">
        <v>71</v>
      </c>
      <c r="C58" s="126"/>
      <c r="D58" s="127"/>
      <c r="E58" s="128"/>
      <c r="F58" s="129"/>
      <c r="G58" s="127"/>
      <c r="H58" s="130"/>
      <c r="I58" s="97"/>
      <c r="J58" s="97"/>
      <c r="K58" s="97"/>
      <c r="L58" s="131"/>
      <c r="M58" s="97"/>
      <c r="N58" s="97"/>
      <c r="O58" s="97"/>
      <c r="P58" s="40"/>
    </row>
    <row r="59" ht="15.75" customHeight="1">
      <c r="A59" s="40"/>
      <c r="B59" s="96"/>
      <c r="C59" s="97"/>
      <c r="D59" s="97"/>
      <c r="E59" s="97"/>
      <c r="F59" s="97"/>
      <c r="G59" s="97"/>
      <c r="H59" s="97"/>
      <c r="I59" s="97"/>
      <c r="J59" s="97"/>
      <c r="K59" s="97"/>
      <c r="L59" s="131"/>
      <c r="M59" s="97"/>
      <c r="N59" s="97"/>
      <c r="O59" s="97"/>
      <c r="P59" s="40"/>
    </row>
    <row r="60" ht="15.75" customHeight="1">
      <c r="A60" s="40"/>
      <c r="B60" s="96"/>
      <c r="C60" s="97"/>
      <c r="D60" s="97"/>
      <c r="E60" s="97"/>
      <c r="F60" s="97"/>
      <c r="G60" s="97"/>
      <c r="H60" s="97"/>
      <c r="I60" s="97"/>
      <c r="J60" s="97"/>
      <c r="K60" s="97"/>
      <c r="L60" s="131"/>
      <c r="M60" s="97"/>
      <c r="N60" s="97"/>
      <c r="O60" s="97"/>
      <c r="P60" s="40"/>
    </row>
  </sheetData>
  <mergeCells count="76">
    <mergeCell ref="B39:J39"/>
    <mergeCell ref="B40:J40"/>
    <mergeCell ref="B41:J41"/>
    <mergeCell ref="B42:J42"/>
    <mergeCell ref="B43:J43"/>
    <mergeCell ref="B44:J44"/>
    <mergeCell ref="B45:J45"/>
    <mergeCell ref="J51:K51"/>
    <mergeCell ref="J52:K52"/>
    <mergeCell ref="J55:K55"/>
    <mergeCell ref="J56:K56"/>
    <mergeCell ref="M56:O56"/>
    <mergeCell ref="J57:K57"/>
    <mergeCell ref="M57:O57"/>
    <mergeCell ref="C50:H52"/>
    <mergeCell ref="B53:B54"/>
    <mergeCell ref="C53:E53"/>
    <mergeCell ref="F53:H53"/>
    <mergeCell ref="B46:J46"/>
    <mergeCell ref="B47:J47"/>
    <mergeCell ref="B48:J48"/>
    <mergeCell ref="B49:J49"/>
    <mergeCell ref="J50:K50"/>
    <mergeCell ref="M51:O51"/>
    <mergeCell ref="M52:O52"/>
    <mergeCell ref="C1:H2"/>
    <mergeCell ref="I1:O2"/>
    <mergeCell ref="C3:E3"/>
    <mergeCell ref="F3:H3"/>
    <mergeCell ref="I3:J3"/>
    <mergeCell ref="K3:O3"/>
    <mergeCell ref="C4:E4"/>
    <mergeCell ref="K4:O4"/>
    <mergeCell ref="F4:H4"/>
    <mergeCell ref="I4:J4"/>
    <mergeCell ref="C5:E6"/>
    <mergeCell ref="F5:H6"/>
    <mergeCell ref="I5:J6"/>
    <mergeCell ref="K5:O6"/>
    <mergeCell ref="C7:E8"/>
    <mergeCell ref="K7:O8"/>
    <mergeCell ref="F7:H8"/>
    <mergeCell ref="I7:J8"/>
    <mergeCell ref="B9:J9"/>
    <mergeCell ref="B10:J10"/>
    <mergeCell ref="B11:J11"/>
    <mergeCell ref="B12:J12"/>
    <mergeCell ref="B13:J13"/>
    <mergeCell ref="B14:J14"/>
    <mergeCell ref="B15:J15"/>
    <mergeCell ref="B16:J16"/>
    <mergeCell ref="B17:J17"/>
    <mergeCell ref="B18:J18"/>
    <mergeCell ref="B19:J19"/>
    <mergeCell ref="B20:J20"/>
    <mergeCell ref="B21:J21"/>
    <mergeCell ref="B22:J22"/>
    <mergeCell ref="B23:J23"/>
    <mergeCell ref="B24:J24"/>
    <mergeCell ref="B25:J25"/>
    <mergeCell ref="B26:J26"/>
    <mergeCell ref="B27:J27"/>
    <mergeCell ref="C28:H30"/>
    <mergeCell ref="J28:K28"/>
    <mergeCell ref="J29:K29"/>
    <mergeCell ref="M29:O29"/>
    <mergeCell ref="J30:K30"/>
    <mergeCell ref="M30:O30"/>
    <mergeCell ref="B31:J31"/>
    <mergeCell ref="B32:J32"/>
    <mergeCell ref="B33:J33"/>
    <mergeCell ref="B34:J34"/>
    <mergeCell ref="B35:J35"/>
    <mergeCell ref="B36:J36"/>
    <mergeCell ref="B37:J37"/>
    <mergeCell ref="B38:J38"/>
  </mergeCells>
  <dataValidations>
    <dataValidation type="custom" allowBlank="1" showDropDown="1" showInputMessage="1" showErrorMessage="1" prompt="Enter a number" sqref="K10:K18 O10:O27 K32:K41 O32:O49">
      <formula1>ISNUMBER(K10)</formula1>
    </dataValidation>
    <dataValidation type="list" allowBlank="1" showInputMessage="1" showErrorMessage="1" prompt="Click and enter a valid scale from the list of items. The valid scales are Letter, 0-100, 0-4, and None" sqref="B3">
      <formula1>"Letter,0-4,0-100,None"</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8.88"/>
    <col customWidth="1" min="3" max="8" width="6.38"/>
    <col customWidth="1" hidden="1" min="9" max="9" width="18.88"/>
    <col customWidth="1" min="10" max="10" width="18.88"/>
    <col customWidth="1" min="11" max="11" width="6.38"/>
    <col customWidth="1" hidden="1" min="12" max="12" width="18.88"/>
    <col customWidth="1" min="13" max="13" width="6.38"/>
    <col customWidth="1" hidden="1" min="14" max="14" width="6.38"/>
    <col customWidth="1" min="15" max="15" width="6.38"/>
  </cols>
  <sheetData>
    <row r="1" ht="15.75" customHeight="1">
      <c r="A1" s="58"/>
      <c r="B1" s="1"/>
      <c r="C1" s="71" t="s">
        <v>5</v>
      </c>
      <c r="I1" s="58" t="s">
        <v>6</v>
      </c>
      <c r="P1" s="72"/>
    </row>
    <row r="2" ht="15.75" customHeight="1">
      <c r="A2" s="58"/>
      <c r="B2" s="74" t="s">
        <v>50</v>
      </c>
      <c r="P2" s="72"/>
    </row>
    <row r="3" ht="15.75" customHeight="1">
      <c r="A3" s="73"/>
      <c r="B3" s="75" t="s">
        <v>51</v>
      </c>
      <c r="C3" s="59" t="s">
        <v>8</v>
      </c>
      <c r="F3" s="60" t="str">
        <f>'Getting Started'!$G$10</f>
        <v/>
      </c>
      <c r="I3" s="59" t="s">
        <v>9</v>
      </c>
      <c r="K3" s="60" t="str">
        <f>'Getting Started'!$I$10</f>
        <v/>
      </c>
      <c r="P3" s="40"/>
    </row>
    <row r="4" ht="15.75" customHeight="1">
      <c r="A4" s="73"/>
      <c r="B4" s="133" t="s">
        <v>72</v>
      </c>
      <c r="C4" s="59" t="s">
        <v>11</v>
      </c>
      <c r="F4" s="61" t="str">
        <f>'Getting Started'!$G$11</f>
        <v/>
      </c>
      <c r="I4" s="59" t="s">
        <v>12</v>
      </c>
      <c r="K4" s="60" t="str">
        <f>'Getting Started'!$I$11</f>
        <v/>
      </c>
      <c r="P4" s="40"/>
    </row>
    <row r="5" ht="15.75" customHeight="1">
      <c r="A5" s="73"/>
      <c r="B5" s="40" t="str">
        <f t="array" ref="B5">GPA({'9th Grade (Semester)'!K10:K27,'9th Grade (Semester)'!M10:M27,'9th Grade (Semester)'!O10:O27;'9th Grade (Semester)'!K32:K49,'9th Grade (Semester)'!M32:M49,'9th Grade (Semester)'!O32:O49;'10th Grade (Semester)'!K10:K27,'10th Grade (Semester)'!M10:M27,'10th Grade (Semester)'!O10:O27;'10th Grade (Semester)'!K32:K49,'10th Grade (Semester)'!M32:M49,'10th Grade (Semester)'!O32:O49;'11th Grade (Semester)'!K10:K27,'11th Grade (Semester)'!M10:M27,'11th Grade (Semester)'!O10:O27;'11th Grade (Semester)'!K32:K49,'11th Grade (Semester)'!M32:M49,'11th Grade (Semester)'!O32:O49;K10:K27,M10:M27,O10:O27;K32:K49,M32:M49,O32:O49},1,2)</f>
        <v>Loading...</v>
      </c>
      <c r="C5" s="59" t="s">
        <v>13</v>
      </c>
      <c r="F5" s="60" t="str">
        <f>'Getting Started'!$G$12</f>
        <v/>
      </c>
      <c r="I5" s="59" t="s">
        <v>14</v>
      </c>
      <c r="K5" s="60" t="str">
        <f>'Getting Started'!$I$12</f>
        <v/>
      </c>
      <c r="P5" s="40"/>
    </row>
    <row r="6" ht="15.75" customHeight="1">
      <c r="A6" s="73"/>
      <c r="B6" s="133" t="s">
        <v>64</v>
      </c>
      <c r="P6" s="40"/>
    </row>
    <row r="7" ht="15.75" customHeight="1">
      <c r="A7" s="73"/>
      <c r="B7" s="40" t="str">
        <f>IF('11th Grade (Semester)'!B7+M57 = 0, "", '11th Grade (Semester)'!B7+M57)</f>
        <v>Loading...</v>
      </c>
      <c r="C7" s="59" t="s">
        <v>15</v>
      </c>
      <c r="F7" s="62" t="str">
        <f>'Getting Started'!$G$14</f>
        <v/>
      </c>
      <c r="I7" s="59" t="s">
        <v>16</v>
      </c>
      <c r="K7" s="60" t="str">
        <f>'Getting Started'!$I$14</f>
        <v/>
      </c>
      <c r="P7" s="40"/>
    </row>
    <row r="8" ht="15.75" customHeight="1">
      <c r="A8" s="73"/>
      <c r="B8" s="19" t="s">
        <v>74</v>
      </c>
      <c r="P8" s="40"/>
    </row>
    <row r="9" ht="31.5" customHeight="1">
      <c r="A9" s="40"/>
      <c r="B9" s="76" t="s">
        <v>53</v>
      </c>
      <c r="C9" s="8"/>
      <c r="D9" s="8"/>
      <c r="E9" s="8"/>
      <c r="F9" s="8"/>
      <c r="G9" s="8"/>
      <c r="H9" s="8"/>
      <c r="I9" s="8"/>
      <c r="J9" s="77"/>
      <c r="K9" s="78" t="s">
        <v>54</v>
      </c>
      <c r="L9" s="79" t="s">
        <v>55</v>
      </c>
      <c r="M9" s="80" t="s">
        <v>56</v>
      </c>
      <c r="N9" s="81"/>
      <c r="O9" s="82" t="s">
        <v>57</v>
      </c>
      <c r="P9" s="1"/>
    </row>
    <row r="10" ht="15.75" customHeight="1">
      <c r="A10" s="40"/>
      <c r="B10" s="83"/>
      <c r="J10" s="47"/>
      <c r="K10" s="84"/>
      <c r="L10" s="85"/>
      <c r="M10" s="86"/>
      <c r="N10" s="87"/>
      <c r="O10" s="88"/>
      <c r="P10" s="1"/>
    </row>
    <row r="11" ht="15.75" customHeight="1">
      <c r="A11" s="40"/>
      <c r="B11" s="141"/>
      <c r="J11" s="47"/>
      <c r="K11" s="84"/>
      <c r="L11" s="85" t="b">
        <v>0</v>
      </c>
      <c r="M11" s="86"/>
      <c r="N11" s="142"/>
      <c r="O11" s="88"/>
      <c r="P11" s="40"/>
    </row>
    <row r="12" ht="15.75" customHeight="1">
      <c r="A12" s="40"/>
      <c r="B12" s="141"/>
      <c r="J12" s="47"/>
      <c r="K12" s="84"/>
      <c r="L12" s="143" t="b">
        <v>0</v>
      </c>
      <c r="M12" s="86"/>
      <c r="N12" s="142"/>
      <c r="O12" s="144"/>
      <c r="P12" s="40"/>
    </row>
    <row r="13" ht="15.75" customHeight="1">
      <c r="A13" s="40"/>
      <c r="B13" s="141"/>
      <c r="J13" s="47"/>
      <c r="K13" s="145"/>
      <c r="L13" s="143" t="b">
        <v>0</v>
      </c>
      <c r="M13" s="146"/>
      <c r="N13" s="142"/>
      <c r="O13" s="144"/>
      <c r="P13" s="40"/>
    </row>
    <row r="14" ht="15.75" customHeight="1">
      <c r="A14" s="40"/>
      <c r="B14" s="141"/>
      <c r="J14" s="47"/>
      <c r="K14" s="145"/>
      <c r="L14" s="85" t="b">
        <v>0</v>
      </c>
      <c r="M14" s="146"/>
      <c r="N14" s="142"/>
      <c r="O14" s="144"/>
      <c r="P14" s="40"/>
    </row>
    <row r="15" ht="15.75" customHeight="1">
      <c r="A15" s="40"/>
      <c r="B15" s="141"/>
      <c r="J15" s="47"/>
      <c r="K15" s="145"/>
      <c r="L15" s="85" t="b">
        <v>0</v>
      </c>
      <c r="M15" s="146"/>
      <c r="N15" s="142"/>
      <c r="O15" s="144"/>
      <c r="P15" s="40"/>
    </row>
    <row r="16" ht="15.75" customHeight="1">
      <c r="A16" s="40"/>
      <c r="B16" s="141"/>
      <c r="J16" s="47"/>
      <c r="K16" s="145"/>
      <c r="L16" s="85" t="b">
        <v>0</v>
      </c>
      <c r="M16" s="146"/>
      <c r="N16" s="142"/>
      <c r="O16" s="144"/>
      <c r="P16" s="40"/>
    </row>
    <row r="17" ht="15.75" customHeight="1">
      <c r="A17" s="40"/>
      <c r="B17" s="141"/>
      <c r="J17" s="47"/>
      <c r="K17" s="145"/>
      <c r="L17" s="143" t="b">
        <v>0</v>
      </c>
      <c r="M17" s="146"/>
      <c r="N17" s="142"/>
      <c r="O17" s="144"/>
      <c r="P17" s="40"/>
    </row>
    <row r="18" ht="15.75" customHeight="1">
      <c r="A18" s="40"/>
      <c r="B18" s="141"/>
      <c r="J18" s="47"/>
      <c r="K18" s="145"/>
      <c r="L18" s="143" t="b">
        <v>0</v>
      </c>
      <c r="M18" s="146"/>
      <c r="N18" s="142"/>
      <c r="O18" s="144"/>
      <c r="P18" s="40"/>
    </row>
    <row r="19" ht="15.75" customHeight="1">
      <c r="A19" s="40"/>
      <c r="B19" s="141"/>
      <c r="J19" s="47"/>
      <c r="K19" s="145"/>
      <c r="L19" s="143" t="b">
        <v>0</v>
      </c>
      <c r="M19" s="146"/>
      <c r="N19" s="142"/>
      <c r="O19" s="144"/>
      <c r="P19" s="40"/>
    </row>
    <row r="20" ht="15.75" customHeight="1">
      <c r="A20" s="40"/>
      <c r="B20" s="141"/>
      <c r="J20" s="47"/>
      <c r="K20" s="145"/>
      <c r="L20" s="143" t="b">
        <v>0</v>
      </c>
      <c r="M20" s="146"/>
      <c r="N20" s="142"/>
      <c r="O20" s="144"/>
      <c r="P20" s="40"/>
    </row>
    <row r="21" ht="15.75" customHeight="1">
      <c r="A21" s="40"/>
      <c r="B21" s="141"/>
      <c r="J21" s="47"/>
      <c r="K21" s="145"/>
      <c r="L21" s="143" t="b">
        <v>0</v>
      </c>
      <c r="M21" s="146"/>
      <c r="N21" s="142"/>
      <c r="O21" s="144"/>
      <c r="P21" s="40"/>
    </row>
    <row r="22" ht="15.75" customHeight="1">
      <c r="A22" s="40"/>
      <c r="B22" s="141"/>
      <c r="J22" s="47"/>
      <c r="K22" s="145"/>
      <c r="L22" s="143" t="b">
        <v>0</v>
      </c>
      <c r="M22" s="146"/>
      <c r="N22" s="142"/>
      <c r="O22" s="144"/>
      <c r="P22" s="40"/>
    </row>
    <row r="23" ht="15.75" customHeight="1">
      <c r="A23" s="40"/>
      <c r="B23" s="141"/>
      <c r="J23" s="47"/>
      <c r="K23" s="145"/>
      <c r="L23" s="143" t="b">
        <v>0</v>
      </c>
      <c r="M23" s="146"/>
      <c r="N23" s="142"/>
      <c r="O23" s="144"/>
      <c r="P23" s="40"/>
    </row>
    <row r="24" ht="15.75" customHeight="1">
      <c r="A24" s="40"/>
      <c r="B24" s="141"/>
      <c r="J24" s="47"/>
      <c r="K24" s="145"/>
      <c r="L24" s="143" t="b">
        <v>0</v>
      </c>
      <c r="M24" s="146"/>
      <c r="N24" s="142"/>
      <c r="O24" s="144"/>
      <c r="P24" s="40"/>
    </row>
    <row r="25" ht="15.75" customHeight="1">
      <c r="A25" s="40"/>
      <c r="B25" s="141"/>
      <c r="J25" s="47"/>
      <c r="K25" s="145"/>
      <c r="L25" s="143" t="b">
        <v>0</v>
      </c>
      <c r="M25" s="146"/>
      <c r="N25" s="142"/>
      <c r="O25" s="144"/>
      <c r="P25" s="40"/>
    </row>
    <row r="26" ht="15.75" customHeight="1">
      <c r="A26" s="40"/>
      <c r="B26" s="141"/>
      <c r="J26" s="47"/>
      <c r="K26" s="145"/>
      <c r="L26" s="143" t="b">
        <v>0</v>
      </c>
      <c r="M26" s="146"/>
      <c r="N26" s="142"/>
      <c r="O26" s="144"/>
      <c r="P26" s="40"/>
    </row>
    <row r="27" ht="15.75" customHeight="1">
      <c r="A27" s="40"/>
      <c r="B27" s="89"/>
      <c r="C27" s="16"/>
      <c r="D27" s="16"/>
      <c r="E27" s="16"/>
      <c r="F27" s="16"/>
      <c r="G27" s="16"/>
      <c r="H27" s="16"/>
      <c r="I27" s="16"/>
      <c r="J27" s="90"/>
      <c r="K27" s="91"/>
      <c r="L27" s="92" t="b">
        <v>0</v>
      </c>
      <c r="M27" s="93"/>
      <c r="N27" s="94"/>
      <c r="O27" s="95"/>
      <c r="P27" s="40"/>
    </row>
    <row r="28" ht="15.75" customHeight="1">
      <c r="A28" s="40"/>
      <c r="B28" s="147" t="s">
        <v>73</v>
      </c>
      <c r="C28" s="148"/>
      <c r="I28" s="1"/>
      <c r="J28" s="101" t="s">
        <v>75</v>
      </c>
      <c r="K28" s="102"/>
      <c r="L28" s="1"/>
      <c r="M28" s="1"/>
      <c r="N28" s="97"/>
      <c r="O28" s="97"/>
      <c r="P28" s="40"/>
    </row>
    <row r="29" ht="15.75" customHeight="1">
      <c r="A29" s="40"/>
      <c r="B29" s="96"/>
      <c r="C29" s="149"/>
      <c r="I29" s="100"/>
      <c r="J29" s="108" t="s">
        <v>63</v>
      </c>
      <c r="K29" s="109"/>
      <c r="L29" s="110"/>
      <c r="M29" s="111" t="s">
        <v>64</v>
      </c>
      <c r="N29" s="109"/>
      <c r="O29" s="102"/>
      <c r="P29" s="40"/>
    </row>
    <row r="30" ht="15.75" customHeight="1">
      <c r="A30" s="40"/>
      <c r="B30" s="19" t="s">
        <v>76</v>
      </c>
      <c r="C30" s="149"/>
      <c r="I30" s="100"/>
      <c r="J30" s="117" t="str">
        <f t="array" ref="J30">GPA({K10:K27,M10:M27,O10:O27},1,2)</f>
        <v>Loading...</v>
      </c>
      <c r="K30" s="118"/>
      <c r="L30" s="110"/>
      <c r="M30" s="119" t="str">
        <f t="array" ref="M30">CREDITSSUM({K10:K27,M10:M27},1,2)</f>
        <v>Loading...</v>
      </c>
      <c r="N30" s="118"/>
      <c r="O30" s="120"/>
      <c r="P30" s="40"/>
    </row>
    <row r="31" ht="31.5" customHeight="1">
      <c r="A31" s="40"/>
      <c r="B31" s="76" t="s">
        <v>53</v>
      </c>
      <c r="C31" s="8"/>
      <c r="D31" s="8"/>
      <c r="E31" s="8"/>
      <c r="F31" s="8"/>
      <c r="G31" s="8"/>
      <c r="H31" s="8"/>
      <c r="I31" s="8"/>
      <c r="J31" s="77"/>
      <c r="K31" s="78" t="s">
        <v>54</v>
      </c>
      <c r="L31" s="79" t="s">
        <v>55</v>
      </c>
      <c r="M31" s="80" t="s">
        <v>56</v>
      </c>
      <c r="N31" s="81"/>
      <c r="O31" s="82" t="s">
        <v>57</v>
      </c>
      <c r="P31" s="1"/>
    </row>
    <row r="32" ht="15.75" customHeight="1">
      <c r="A32" s="40"/>
      <c r="B32" s="83"/>
      <c r="J32" s="47"/>
      <c r="K32" s="84"/>
      <c r="L32" s="85"/>
      <c r="M32" s="86"/>
      <c r="N32" s="87"/>
      <c r="O32" s="88"/>
      <c r="P32" s="1"/>
    </row>
    <row r="33" ht="15.75" customHeight="1">
      <c r="A33" s="40"/>
      <c r="B33" s="141"/>
      <c r="J33" s="47"/>
      <c r="K33" s="84"/>
      <c r="L33" s="85" t="b">
        <v>0</v>
      </c>
      <c r="M33" s="86"/>
      <c r="N33" s="142"/>
      <c r="O33" s="88"/>
      <c r="P33" s="40"/>
    </row>
    <row r="34" ht="15.75" customHeight="1">
      <c r="A34" s="40"/>
      <c r="B34" s="141"/>
      <c r="J34" s="47"/>
      <c r="K34" s="84"/>
      <c r="L34" s="143" t="b">
        <v>0</v>
      </c>
      <c r="M34" s="86"/>
      <c r="N34" s="142"/>
      <c r="O34" s="144"/>
      <c r="P34" s="40"/>
    </row>
    <row r="35" ht="15.75" customHeight="1">
      <c r="A35" s="40"/>
      <c r="B35" s="141"/>
      <c r="J35" s="47"/>
      <c r="K35" s="145"/>
      <c r="L35" s="143" t="b">
        <v>0</v>
      </c>
      <c r="M35" s="146"/>
      <c r="N35" s="142"/>
      <c r="O35" s="144"/>
      <c r="P35" s="40"/>
    </row>
    <row r="36" ht="15.75" customHeight="1">
      <c r="A36" s="40"/>
      <c r="B36" s="141"/>
      <c r="J36" s="47"/>
      <c r="K36" s="145"/>
      <c r="L36" s="85" t="b">
        <v>0</v>
      </c>
      <c r="M36" s="146"/>
      <c r="N36" s="142"/>
      <c r="O36" s="144"/>
      <c r="P36" s="40"/>
    </row>
    <row r="37" ht="15.75" customHeight="1">
      <c r="A37" s="40"/>
      <c r="B37" s="141"/>
      <c r="J37" s="47"/>
      <c r="K37" s="145"/>
      <c r="L37" s="85" t="b">
        <v>0</v>
      </c>
      <c r="M37" s="146"/>
      <c r="N37" s="142"/>
      <c r="O37" s="144"/>
      <c r="P37" s="40"/>
    </row>
    <row r="38" ht="15.75" customHeight="1">
      <c r="A38" s="40"/>
      <c r="B38" s="141"/>
      <c r="J38" s="47"/>
      <c r="K38" s="145"/>
      <c r="L38" s="85" t="b">
        <v>0</v>
      </c>
      <c r="M38" s="146"/>
      <c r="N38" s="142"/>
      <c r="O38" s="144"/>
      <c r="P38" s="40"/>
    </row>
    <row r="39" ht="15.75" customHeight="1">
      <c r="A39" s="40"/>
      <c r="B39" s="141"/>
      <c r="J39" s="47"/>
      <c r="K39" s="146"/>
      <c r="L39" s="85" t="b">
        <v>0</v>
      </c>
      <c r="M39" s="146"/>
      <c r="N39" s="142"/>
      <c r="O39" s="144"/>
      <c r="P39" s="40"/>
    </row>
    <row r="40" ht="15.75" customHeight="1">
      <c r="A40" s="40"/>
      <c r="B40" s="141"/>
      <c r="J40" s="47"/>
      <c r="K40" s="145"/>
      <c r="L40" s="143" t="b">
        <v>0</v>
      </c>
      <c r="M40" s="146"/>
      <c r="N40" s="142"/>
      <c r="O40" s="144"/>
      <c r="P40" s="40"/>
    </row>
    <row r="41" ht="15.75" customHeight="1">
      <c r="A41" s="40"/>
      <c r="B41" s="141"/>
      <c r="J41" s="47"/>
      <c r="K41" s="145"/>
      <c r="L41" s="143" t="b">
        <v>0</v>
      </c>
      <c r="M41" s="146"/>
      <c r="N41" s="142"/>
      <c r="O41" s="144"/>
      <c r="P41" s="40"/>
    </row>
    <row r="42" ht="15.75" customHeight="1">
      <c r="A42" s="40"/>
      <c r="B42" s="141"/>
      <c r="J42" s="47"/>
      <c r="K42" s="145"/>
      <c r="L42" s="143" t="b">
        <v>0</v>
      </c>
      <c r="M42" s="146"/>
      <c r="N42" s="142"/>
      <c r="O42" s="144"/>
      <c r="P42" s="40"/>
    </row>
    <row r="43" ht="15.75" customHeight="1">
      <c r="A43" s="40"/>
      <c r="B43" s="141"/>
      <c r="J43" s="47"/>
      <c r="K43" s="145"/>
      <c r="L43" s="143" t="b">
        <v>0</v>
      </c>
      <c r="M43" s="146"/>
      <c r="N43" s="142"/>
      <c r="O43" s="144"/>
      <c r="P43" s="40"/>
    </row>
    <row r="44" ht="15.75" customHeight="1">
      <c r="A44" s="40"/>
      <c r="B44" s="141"/>
      <c r="J44" s="47"/>
      <c r="K44" s="145"/>
      <c r="L44" s="143" t="b">
        <v>0</v>
      </c>
      <c r="M44" s="146"/>
      <c r="N44" s="142"/>
      <c r="O44" s="144"/>
      <c r="P44" s="40"/>
    </row>
    <row r="45" ht="15.75" customHeight="1">
      <c r="A45" s="40"/>
      <c r="B45" s="141"/>
      <c r="J45" s="47"/>
      <c r="K45" s="145"/>
      <c r="L45" s="143" t="b">
        <v>0</v>
      </c>
      <c r="M45" s="146"/>
      <c r="N45" s="142"/>
      <c r="O45" s="144"/>
      <c r="P45" s="40"/>
    </row>
    <row r="46" ht="15.75" customHeight="1">
      <c r="A46" s="40"/>
      <c r="B46" s="141"/>
      <c r="J46" s="47"/>
      <c r="K46" s="145"/>
      <c r="L46" s="143" t="b">
        <v>0</v>
      </c>
      <c r="M46" s="146"/>
      <c r="N46" s="142"/>
      <c r="O46" s="144"/>
      <c r="P46" s="40"/>
    </row>
    <row r="47" ht="15.75" customHeight="1">
      <c r="A47" s="40"/>
      <c r="B47" s="141"/>
      <c r="J47" s="47"/>
      <c r="K47" s="145"/>
      <c r="L47" s="143" t="b">
        <v>0</v>
      </c>
      <c r="M47" s="146"/>
      <c r="N47" s="142"/>
      <c r="O47" s="144"/>
      <c r="P47" s="40"/>
    </row>
    <row r="48" ht="15.75" customHeight="1">
      <c r="A48" s="40"/>
      <c r="B48" s="141"/>
      <c r="J48" s="47"/>
      <c r="K48" s="145"/>
      <c r="L48" s="143" t="b">
        <v>0</v>
      </c>
      <c r="M48" s="146"/>
      <c r="N48" s="142"/>
      <c r="O48" s="144"/>
      <c r="P48" s="40"/>
    </row>
    <row r="49" ht="15.75" customHeight="1">
      <c r="A49" s="40"/>
      <c r="B49" s="89"/>
      <c r="C49" s="16"/>
      <c r="D49" s="16"/>
      <c r="E49" s="16"/>
      <c r="F49" s="16"/>
      <c r="G49" s="16"/>
      <c r="H49" s="16"/>
      <c r="I49" s="16"/>
      <c r="J49" s="90"/>
      <c r="K49" s="91"/>
      <c r="L49" s="92" t="b">
        <v>0</v>
      </c>
      <c r="M49" s="93"/>
      <c r="N49" s="94"/>
      <c r="O49" s="95"/>
      <c r="P49" s="40"/>
    </row>
    <row r="50" ht="15.75" customHeight="1">
      <c r="A50" s="40"/>
      <c r="B50" s="147" t="s">
        <v>73</v>
      </c>
      <c r="C50" s="148"/>
      <c r="I50" s="1"/>
      <c r="J50" s="101" t="s">
        <v>77</v>
      </c>
      <c r="K50" s="102"/>
      <c r="L50" s="1"/>
      <c r="M50" s="1"/>
      <c r="N50" s="97"/>
      <c r="O50" s="97"/>
      <c r="P50" s="40"/>
    </row>
    <row r="51" ht="15.75" customHeight="1">
      <c r="A51" s="40"/>
      <c r="B51" s="1"/>
      <c r="C51" s="149"/>
      <c r="I51" s="100"/>
      <c r="J51" s="108" t="s">
        <v>63</v>
      </c>
      <c r="K51" s="109"/>
      <c r="L51" s="110"/>
      <c r="M51" s="111" t="s">
        <v>64</v>
      </c>
      <c r="N51" s="109"/>
      <c r="O51" s="102"/>
      <c r="P51" s="40"/>
    </row>
    <row r="52" ht="15.75" customHeight="1">
      <c r="A52" s="40"/>
      <c r="B52" s="98" t="s">
        <v>58</v>
      </c>
      <c r="C52" s="149"/>
      <c r="I52" s="100"/>
      <c r="J52" s="117" t="str">
        <f t="array" ref="J52">GPA({K32:K49,M32:M49,O32:O49},1,2)</f>
        <v>Loading...</v>
      </c>
      <c r="K52" s="118"/>
      <c r="L52" s="110"/>
      <c r="M52" s="119" t="str">
        <f t="array" ref="M52">CREDITSSUM({K32:K49,M32:M49},1,2)</f>
        <v>Loading...</v>
      </c>
      <c r="N52" s="118"/>
      <c r="O52" s="120"/>
      <c r="P52" s="40"/>
    </row>
    <row r="53" ht="15.75" customHeight="1">
      <c r="A53" s="40"/>
      <c r="B53" s="103" t="s">
        <v>60</v>
      </c>
      <c r="C53" s="104" t="s">
        <v>61</v>
      </c>
      <c r="D53" s="105"/>
      <c r="E53" s="106"/>
      <c r="F53" s="104" t="s">
        <v>62</v>
      </c>
      <c r="G53" s="105"/>
      <c r="H53" s="107"/>
      <c r="I53" s="110"/>
      <c r="J53" s="1"/>
      <c r="K53" s="1"/>
      <c r="L53" s="1"/>
      <c r="M53" s="1"/>
      <c r="N53" s="1"/>
      <c r="O53" s="1"/>
      <c r="P53" s="40"/>
    </row>
    <row r="54" ht="15.75" customHeight="1">
      <c r="A54" s="40"/>
      <c r="B54" s="112"/>
      <c r="C54" s="113" t="s">
        <v>65</v>
      </c>
      <c r="D54" s="114" t="s">
        <v>66</v>
      </c>
      <c r="E54" s="115" t="s">
        <v>67</v>
      </c>
      <c r="F54" s="113" t="s">
        <v>65</v>
      </c>
      <c r="G54" s="114" t="s">
        <v>66</v>
      </c>
      <c r="H54" s="116" t="s">
        <v>67</v>
      </c>
      <c r="I54" s="110"/>
      <c r="J54" s="1"/>
      <c r="K54" s="1"/>
      <c r="L54" s="1"/>
      <c r="M54" s="1"/>
      <c r="N54" s="1"/>
      <c r="O54" s="1"/>
      <c r="P54" s="40"/>
    </row>
    <row r="55" ht="15.75" customHeight="1">
      <c r="A55" s="40"/>
      <c r="B55" s="132" t="s">
        <v>68</v>
      </c>
      <c r="C55" s="122"/>
      <c r="D55" s="84"/>
      <c r="E55" s="123"/>
      <c r="F55" s="86"/>
      <c r="G55" s="84"/>
      <c r="H55" s="124"/>
      <c r="I55" s="110"/>
      <c r="J55" s="101" t="s">
        <v>59</v>
      </c>
      <c r="K55" s="102"/>
      <c r="L55" s="1"/>
      <c r="M55" s="1"/>
      <c r="N55" s="97"/>
      <c r="O55" s="97"/>
      <c r="P55" s="40"/>
    </row>
    <row r="56" ht="15.75" customHeight="1">
      <c r="A56" s="40"/>
      <c r="B56" s="132" t="s">
        <v>69</v>
      </c>
      <c r="C56" s="122"/>
      <c r="D56" s="84"/>
      <c r="E56" s="123"/>
      <c r="F56" s="86"/>
      <c r="G56" s="84"/>
      <c r="H56" s="124"/>
      <c r="I56" s="110"/>
      <c r="J56" s="108" t="s">
        <v>63</v>
      </c>
      <c r="K56" s="109"/>
      <c r="L56" s="110"/>
      <c r="M56" s="111" t="s">
        <v>64</v>
      </c>
      <c r="N56" s="109"/>
      <c r="O56" s="102"/>
      <c r="P56" s="40"/>
    </row>
    <row r="57" ht="15.75" customHeight="1">
      <c r="A57" s="40"/>
      <c r="B57" s="121" t="s">
        <v>70</v>
      </c>
      <c r="C57" s="122"/>
      <c r="D57" s="84"/>
      <c r="E57" s="123"/>
      <c r="F57" s="86"/>
      <c r="G57" s="84"/>
      <c r="H57" s="124"/>
      <c r="I57" s="110"/>
      <c r="J57" s="117" t="str">
        <f t="array" ref="J57">GPA({K10:K27,M10:M27,O10:O27;K32:K49,M32:M49,O32:O49},1,2)</f>
        <v>Loading...</v>
      </c>
      <c r="K57" s="118"/>
      <c r="L57" s="110"/>
      <c r="M57" s="119" t="str">
        <f t="array" ref="M57">CREDITSSUM({K10:K27,M10:M27;K32:K49,M32:M49},1,2)</f>
        <v>Loading...</v>
      </c>
      <c r="N57" s="118"/>
      <c r="O57" s="120"/>
      <c r="P57" s="40"/>
    </row>
    <row r="58" ht="15.75" customHeight="1">
      <c r="A58" s="40"/>
      <c r="B58" s="125" t="s">
        <v>71</v>
      </c>
      <c r="C58" s="126"/>
      <c r="D58" s="127"/>
      <c r="E58" s="128"/>
      <c r="F58" s="129"/>
      <c r="G58" s="127"/>
      <c r="H58" s="130"/>
      <c r="I58" s="97"/>
      <c r="J58" s="97"/>
      <c r="K58" s="97"/>
      <c r="L58" s="131"/>
      <c r="M58" s="97"/>
      <c r="N58" s="97"/>
      <c r="O58" s="97"/>
      <c r="P58" s="40"/>
    </row>
    <row r="59" ht="15.75" customHeight="1">
      <c r="A59" s="40"/>
      <c r="B59" s="96"/>
      <c r="C59" s="97"/>
      <c r="D59" s="97"/>
      <c r="E59" s="97"/>
      <c r="F59" s="97"/>
      <c r="G59" s="97"/>
      <c r="H59" s="97"/>
      <c r="I59" s="97"/>
      <c r="J59" s="97"/>
      <c r="K59" s="97"/>
      <c r="L59" s="131"/>
      <c r="M59" s="97"/>
      <c r="N59" s="97"/>
      <c r="O59" s="97"/>
      <c r="P59" s="40"/>
    </row>
    <row r="60" ht="15.75" customHeight="1">
      <c r="A60" s="40"/>
      <c r="B60" s="96"/>
      <c r="C60" s="97"/>
      <c r="D60" s="97"/>
      <c r="E60" s="97"/>
      <c r="F60" s="97"/>
      <c r="G60" s="97"/>
      <c r="H60" s="97"/>
      <c r="I60" s="97"/>
      <c r="J60" s="97"/>
      <c r="K60" s="97"/>
      <c r="L60" s="131"/>
      <c r="M60" s="97"/>
      <c r="N60" s="97"/>
      <c r="O60" s="97"/>
      <c r="P60" s="40"/>
    </row>
  </sheetData>
  <mergeCells count="76">
    <mergeCell ref="B39:J39"/>
    <mergeCell ref="B40:J40"/>
    <mergeCell ref="B41:J41"/>
    <mergeCell ref="B42:J42"/>
    <mergeCell ref="B43:J43"/>
    <mergeCell ref="B44:J44"/>
    <mergeCell ref="B45:J45"/>
    <mergeCell ref="J51:K51"/>
    <mergeCell ref="J52:K52"/>
    <mergeCell ref="J55:K55"/>
    <mergeCell ref="J56:K56"/>
    <mergeCell ref="M56:O56"/>
    <mergeCell ref="J57:K57"/>
    <mergeCell ref="M57:O57"/>
    <mergeCell ref="C50:H52"/>
    <mergeCell ref="B53:B54"/>
    <mergeCell ref="C53:E53"/>
    <mergeCell ref="F53:H53"/>
    <mergeCell ref="B46:J46"/>
    <mergeCell ref="B47:J47"/>
    <mergeCell ref="B48:J48"/>
    <mergeCell ref="B49:J49"/>
    <mergeCell ref="J50:K50"/>
    <mergeCell ref="M51:O51"/>
    <mergeCell ref="M52:O52"/>
    <mergeCell ref="C1:H2"/>
    <mergeCell ref="I1:O2"/>
    <mergeCell ref="C3:E3"/>
    <mergeCell ref="F3:H3"/>
    <mergeCell ref="I3:J3"/>
    <mergeCell ref="K3:O3"/>
    <mergeCell ref="C4:E4"/>
    <mergeCell ref="K4:O4"/>
    <mergeCell ref="F4:H4"/>
    <mergeCell ref="I4:J4"/>
    <mergeCell ref="C5:E6"/>
    <mergeCell ref="F5:H6"/>
    <mergeCell ref="I5:J6"/>
    <mergeCell ref="K5:O6"/>
    <mergeCell ref="C7:E8"/>
    <mergeCell ref="K7:O8"/>
    <mergeCell ref="F7:H8"/>
    <mergeCell ref="I7:J8"/>
    <mergeCell ref="B9:J9"/>
    <mergeCell ref="B10:J10"/>
    <mergeCell ref="B11:J11"/>
    <mergeCell ref="B12:J12"/>
    <mergeCell ref="B13:J13"/>
    <mergeCell ref="B14:J14"/>
    <mergeCell ref="B15:J15"/>
    <mergeCell ref="B16:J16"/>
    <mergeCell ref="B17:J17"/>
    <mergeCell ref="B18:J18"/>
    <mergeCell ref="B19:J19"/>
    <mergeCell ref="B20:J20"/>
    <mergeCell ref="B21:J21"/>
    <mergeCell ref="B22:J22"/>
    <mergeCell ref="B23:J23"/>
    <mergeCell ref="B24:J24"/>
    <mergeCell ref="B25:J25"/>
    <mergeCell ref="B26:J26"/>
    <mergeCell ref="B27:J27"/>
    <mergeCell ref="C28:H30"/>
    <mergeCell ref="J28:K28"/>
    <mergeCell ref="J29:K29"/>
    <mergeCell ref="M29:O29"/>
    <mergeCell ref="J30:K30"/>
    <mergeCell ref="M30:O30"/>
    <mergeCell ref="B31:J31"/>
    <mergeCell ref="B32:J32"/>
    <mergeCell ref="B33:J33"/>
    <mergeCell ref="B34:J34"/>
    <mergeCell ref="B35:J35"/>
    <mergeCell ref="B36:J36"/>
    <mergeCell ref="B37:J37"/>
    <mergeCell ref="B38:J38"/>
  </mergeCells>
  <dataValidations>
    <dataValidation type="custom" allowBlank="1" showDropDown="1" showInputMessage="1" showErrorMessage="1" prompt="Enter a number" sqref="K10:K18 O10:O27 K32:K41 O32:O49">
      <formula1>ISNUMBER(K10)</formula1>
    </dataValidation>
    <dataValidation type="list" allowBlank="1" showInputMessage="1" showErrorMessage="1" prompt="Click and enter a valid scale from the list of items. The valid scales are Letter, 0-100, 0-4, and None" sqref="B3">
      <formula1>"Letter,0-4,0-100,None"</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8.88"/>
    <col customWidth="1" min="3" max="8" width="6.38"/>
    <col customWidth="1" hidden="1" min="9" max="9" width="18.88"/>
    <col customWidth="1" min="10" max="10" width="18.88"/>
    <col customWidth="1" min="11" max="11" width="6.38"/>
    <col customWidth="1" hidden="1" min="12" max="12" width="18.88"/>
    <col customWidth="1" min="13" max="13" width="6.38"/>
    <col customWidth="1" hidden="1" min="14" max="14" width="6.38"/>
    <col customWidth="1" min="15" max="15" width="6.38"/>
  </cols>
  <sheetData>
    <row r="1" ht="31.5" customHeight="1">
      <c r="A1" s="58"/>
      <c r="B1" s="1"/>
      <c r="C1" s="71" t="s">
        <v>5</v>
      </c>
      <c r="I1" s="58" t="s">
        <v>6</v>
      </c>
      <c r="P1" s="72"/>
    </row>
    <row r="2" ht="15.75" customHeight="1">
      <c r="A2" s="73"/>
      <c r="B2" s="74" t="s">
        <v>50</v>
      </c>
      <c r="C2" s="59" t="s">
        <v>8</v>
      </c>
      <c r="F2" s="60" t="str">
        <f>'Getting Started'!$G$10</f>
        <v/>
      </c>
      <c r="I2" s="59" t="s">
        <v>9</v>
      </c>
      <c r="K2" s="60" t="str">
        <f>'Getting Started'!$I$10</f>
        <v/>
      </c>
      <c r="P2" s="40"/>
    </row>
    <row r="3" ht="15.75" customHeight="1">
      <c r="A3" s="73"/>
      <c r="B3" s="75" t="s">
        <v>51</v>
      </c>
      <c r="C3" s="59" t="s">
        <v>11</v>
      </c>
      <c r="F3" s="61" t="str">
        <f>'Getting Started'!$G$11</f>
        <v/>
      </c>
      <c r="I3" s="59" t="s">
        <v>12</v>
      </c>
      <c r="K3" s="60" t="str">
        <f>'Getting Started'!$I$11</f>
        <v/>
      </c>
      <c r="P3" s="40"/>
    </row>
    <row r="4" ht="31.5" customHeight="1">
      <c r="A4" s="73"/>
      <c r="B4" s="1"/>
      <c r="C4" s="59" t="s">
        <v>13</v>
      </c>
      <c r="F4" s="60" t="str">
        <f>'Getting Started'!$G$12</f>
        <v/>
      </c>
      <c r="I4" s="59" t="s">
        <v>14</v>
      </c>
      <c r="K4" s="60" t="str">
        <f>'Getting Started'!$I$12</f>
        <v/>
      </c>
      <c r="P4" s="40"/>
    </row>
    <row r="5" ht="15.75" customHeight="1">
      <c r="A5" s="73"/>
      <c r="B5" s="1"/>
      <c r="C5" s="59" t="s">
        <v>15</v>
      </c>
      <c r="F5" s="62" t="str">
        <f>'Getting Started'!$G$14</f>
        <v/>
      </c>
      <c r="I5" s="59" t="s">
        <v>16</v>
      </c>
      <c r="K5" s="60" t="str">
        <f>'Getting Started'!$I$14</f>
        <v/>
      </c>
      <c r="P5" s="40"/>
    </row>
    <row r="6" ht="15.75" customHeight="1">
      <c r="A6" s="73"/>
      <c r="B6" s="19" t="s">
        <v>78</v>
      </c>
      <c r="P6" s="40"/>
    </row>
    <row r="7" ht="31.5" customHeight="1">
      <c r="A7" s="40"/>
      <c r="B7" s="76" t="s">
        <v>53</v>
      </c>
      <c r="C7" s="8"/>
      <c r="D7" s="8"/>
      <c r="E7" s="8"/>
      <c r="F7" s="8"/>
      <c r="G7" s="8"/>
      <c r="H7" s="8"/>
      <c r="I7" s="8"/>
      <c r="J7" s="77"/>
      <c r="K7" s="78" t="s">
        <v>54</v>
      </c>
      <c r="L7" s="79" t="s">
        <v>55</v>
      </c>
      <c r="M7" s="80" t="s">
        <v>56</v>
      </c>
      <c r="N7" s="81"/>
      <c r="O7" s="82" t="s">
        <v>57</v>
      </c>
      <c r="P7" s="1"/>
    </row>
    <row r="8" ht="15.75" customHeight="1">
      <c r="A8" s="40"/>
      <c r="B8" s="83"/>
      <c r="J8" s="47"/>
      <c r="K8" s="84"/>
      <c r="L8" s="85"/>
      <c r="M8" s="86"/>
      <c r="N8" s="87"/>
      <c r="O8" s="88"/>
      <c r="P8" s="1"/>
    </row>
    <row r="9" ht="15.75" customHeight="1">
      <c r="A9" s="40"/>
      <c r="B9" s="141"/>
      <c r="J9" s="47"/>
      <c r="K9" s="84"/>
      <c r="L9" s="85" t="b">
        <v>0</v>
      </c>
      <c r="M9" s="86"/>
      <c r="N9" s="142"/>
      <c r="O9" s="88"/>
      <c r="P9" s="40"/>
    </row>
    <row r="10" ht="15.75" customHeight="1">
      <c r="A10" s="40"/>
      <c r="B10" s="141"/>
      <c r="J10" s="47"/>
      <c r="K10" s="84"/>
      <c r="L10" s="143" t="b">
        <v>0</v>
      </c>
      <c r="M10" s="86"/>
      <c r="N10" s="142"/>
      <c r="O10" s="144"/>
      <c r="P10" s="40"/>
    </row>
    <row r="11" ht="15.75" customHeight="1">
      <c r="A11" s="40"/>
      <c r="B11" s="141"/>
      <c r="J11" s="47"/>
      <c r="K11" s="145"/>
      <c r="L11" s="85" t="b">
        <v>0</v>
      </c>
      <c r="M11" s="146"/>
      <c r="N11" s="142"/>
      <c r="O11" s="144"/>
      <c r="P11" s="40"/>
    </row>
    <row r="12" ht="15.75" customHeight="1">
      <c r="A12" s="40"/>
      <c r="B12" s="141"/>
      <c r="J12" s="47"/>
      <c r="K12" s="145"/>
      <c r="L12" s="85" t="b">
        <v>0</v>
      </c>
      <c r="M12" s="146"/>
      <c r="N12" s="142"/>
      <c r="O12" s="144"/>
      <c r="P12" s="40"/>
    </row>
    <row r="13" ht="15.75" customHeight="1">
      <c r="A13" s="40"/>
      <c r="B13" s="141"/>
      <c r="J13" s="47"/>
      <c r="K13" s="145"/>
      <c r="L13" s="85" t="b">
        <v>0</v>
      </c>
      <c r="M13" s="146"/>
      <c r="N13" s="142"/>
      <c r="O13" s="144"/>
      <c r="P13" s="40"/>
    </row>
    <row r="14" ht="15.75" customHeight="1">
      <c r="A14" s="40"/>
      <c r="B14" s="141"/>
      <c r="J14" s="47"/>
      <c r="K14" s="145"/>
      <c r="L14" s="143" t="b">
        <v>0</v>
      </c>
      <c r="M14" s="146"/>
      <c r="N14" s="142"/>
      <c r="O14" s="144"/>
      <c r="P14" s="40"/>
    </row>
    <row r="15" ht="15.75" customHeight="1">
      <c r="A15" s="40"/>
      <c r="B15" s="141"/>
      <c r="J15" s="47"/>
      <c r="K15" s="145"/>
      <c r="L15" s="143" t="b">
        <v>0</v>
      </c>
      <c r="M15" s="146"/>
      <c r="N15" s="142"/>
      <c r="O15" s="144"/>
      <c r="P15" s="40"/>
    </row>
    <row r="16" ht="15.75" customHeight="1">
      <c r="A16" s="40"/>
      <c r="B16" s="141"/>
      <c r="J16" s="47"/>
      <c r="K16" s="145"/>
      <c r="L16" s="143" t="b">
        <v>0</v>
      </c>
      <c r="M16" s="146"/>
      <c r="N16" s="142"/>
      <c r="O16" s="144"/>
      <c r="P16" s="40"/>
    </row>
    <row r="17" ht="15.75" customHeight="1">
      <c r="A17" s="40"/>
      <c r="B17" s="89"/>
      <c r="C17" s="16"/>
      <c r="D17" s="16"/>
      <c r="E17" s="16"/>
      <c r="F17" s="16"/>
      <c r="G17" s="16"/>
      <c r="H17" s="16"/>
      <c r="I17" s="16"/>
      <c r="J17" s="90"/>
      <c r="K17" s="91"/>
      <c r="L17" s="92" t="b">
        <v>0</v>
      </c>
      <c r="M17" s="93"/>
      <c r="N17" s="94"/>
      <c r="O17" s="95"/>
      <c r="P17" s="40"/>
    </row>
    <row r="18" ht="15.75" customHeight="1">
      <c r="A18" s="40"/>
      <c r="B18" s="96"/>
      <c r="C18" s="96"/>
      <c r="D18" s="96"/>
      <c r="E18" s="96"/>
      <c r="F18" s="96"/>
      <c r="G18" s="96"/>
      <c r="H18" s="96"/>
      <c r="I18" s="1"/>
      <c r="J18" s="101" t="s">
        <v>79</v>
      </c>
      <c r="K18" s="102"/>
      <c r="L18" s="1"/>
      <c r="M18" s="1"/>
      <c r="N18" s="97"/>
      <c r="O18" s="97"/>
      <c r="P18" s="40"/>
    </row>
    <row r="19" ht="15.75" customHeight="1">
      <c r="A19" s="40"/>
      <c r="B19" s="96"/>
      <c r="C19" s="96"/>
      <c r="D19" s="96"/>
      <c r="E19" s="96"/>
      <c r="F19" s="96"/>
      <c r="G19" s="96"/>
      <c r="H19" s="96"/>
      <c r="I19" s="100"/>
      <c r="J19" s="108" t="s">
        <v>63</v>
      </c>
      <c r="K19" s="109"/>
      <c r="L19" s="110"/>
      <c r="M19" s="111" t="s">
        <v>64</v>
      </c>
      <c r="N19" s="109"/>
      <c r="O19" s="102"/>
      <c r="P19" s="40"/>
    </row>
    <row r="20" ht="15.75" customHeight="1">
      <c r="A20" s="40"/>
      <c r="B20" s="19" t="s">
        <v>80</v>
      </c>
      <c r="C20" s="150"/>
      <c r="D20" s="150"/>
      <c r="E20" s="150"/>
      <c r="F20" s="150"/>
      <c r="G20" s="150"/>
      <c r="H20" s="150"/>
      <c r="I20" s="100"/>
      <c r="J20" s="117" t="str">
        <f t="array" ref="J20">GPA({K8:K17,M8:M17,O8:O17},1,2)</f>
        <v>Loading...</v>
      </c>
      <c r="K20" s="118"/>
      <c r="L20" s="110"/>
      <c r="M20" s="119" t="str">
        <f t="array" ref="M20">CREDITSSUM({K8:K17,M8:M17},1,2)</f>
        <v>Loading...</v>
      </c>
      <c r="N20" s="118"/>
      <c r="O20" s="120"/>
      <c r="P20" s="40"/>
    </row>
    <row r="21" ht="31.5" customHeight="1">
      <c r="A21" s="40"/>
      <c r="B21" s="76" t="s">
        <v>53</v>
      </c>
      <c r="C21" s="8"/>
      <c r="D21" s="8"/>
      <c r="E21" s="8"/>
      <c r="F21" s="8"/>
      <c r="G21" s="8"/>
      <c r="H21" s="8"/>
      <c r="I21" s="8"/>
      <c r="J21" s="77"/>
      <c r="K21" s="78" t="s">
        <v>54</v>
      </c>
      <c r="L21" s="79" t="s">
        <v>55</v>
      </c>
      <c r="M21" s="80" t="s">
        <v>56</v>
      </c>
      <c r="N21" s="81"/>
      <c r="O21" s="82" t="s">
        <v>57</v>
      </c>
      <c r="P21" s="1"/>
    </row>
    <row r="22" ht="15.75" customHeight="1">
      <c r="A22" s="40"/>
      <c r="B22" s="83"/>
      <c r="J22" s="47"/>
      <c r="K22" s="84"/>
      <c r="L22" s="85"/>
      <c r="M22" s="86"/>
      <c r="N22" s="87"/>
      <c r="O22" s="88"/>
      <c r="P22" s="1"/>
    </row>
    <row r="23" ht="15.75" customHeight="1">
      <c r="A23" s="40"/>
      <c r="B23" s="141"/>
      <c r="J23" s="47"/>
      <c r="K23" s="84"/>
      <c r="L23" s="85" t="b">
        <v>0</v>
      </c>
      <c r="M23" s="86"/>
      <c r="N23" s="142"/>
      <c r="O23" s="88"/>
      <c r="P23" s="40"/>
    </row>
    <row r="24" ht="15.75" customHeight="1">
      <c r="A24" s="40"/>
      <c r="B24" s="141"/>
      <c r="J24" s="47"/>
      <c r="K24" s="84"/>
      <c r="L24" s="143" t="b">
        <v>0</v>
      </c>
      <c r="M24" s="86"/>
      <c r="N24" s="142"/>
      <c r="O24" s="144"/>
      <c r="P24" s="40"/>
    </row>
    <row r="25" ht="15.75" customHeight="1">
      <c r="A25" s="40"/>
      <c r="B25" s="141"/>
      <c r="J25" s="47"/>
      <c r="K25" s="145"/>
      <c r="L25" s="143" t="b">
        <v>0</v>
      </c>
      <c r="M25" s="146"/>
      <c r="N25" s="142"/>
      <c r="O25" s="144"/>
      <c r="P25" s="40"/>
    </row>
    <row r="26" ht="15.75" customHeight="1">
      <c r="A26" s="40"/>
      <c r="B26" s="141"/>
      <c r="J26" s="47"/>
      <c r="K26" s="145"/>
      <c r="L26" s="85" t="b">
        <v>0</v>
      </c>
      <c r="M26" s="146"/>
      <c r="N26" s="142"/>
      <c r="O26" s="144"/>
      <c r="P26" s="40"/>
    </row>
    <row r="27" ht="15.75" customHeight="1">
      <c r="A27" s="40"/>
      <c r="B27" s="141"/>
      <c r="J27" s="47"/>
      <c r="K27" s="145"/>
      <c r="L27" s="85" t="b">
        <v>0</v>
      </c>
      <c r="M27" s="146"/>
      <c r="N27" s="142"/>
      <c r="O27" s="144"/>
      <c r="P27" s="40"/>
    </row>
    <row r="28" ht="15.75" customHeight="1">
      <c r="A28" s="40"/>
      <c r="B28" s="141"/>
      <c r="J28" s="47"/>
      <c r="K28" s="146"/>
      <c r="L28" s="85" t="b">
        <v>0</v>
      </c>
      <c r="M28" s="146"/>
      <c r="N28" s="142"/>
      <c r="O28" s="144"/>
      <c r="P28" s="40"/>
    </row>
    <row r="29" ht="15.75" customHeight="1">
      <c r="A29" s="40"/>
      <c r="B29" s="141"/>
      <c r="J29" s="47"/>
      <c r="K29" s="145"/>
      <c r="L29" s="143" t="b">
        <v>0</v>
      </c>
      <c r="M29" s="146"/>
      <c r="N29" s="142"/>
      <c r="O29" s="144"/>
      <c r="P29" s="40"/>
    </row>
    <row r="30" ht="15.75" customHeight="1">
      <c r="A30" s="40"/>
      <c r="B30" s="141"/>
      <c r="J30" s="47"/>
      <c r="K30" s="145"/>
      <c r="L30" s="143" t="b">
        <v>0</v>
      </c>
      <c r="M30" s="146"/>
      <c r="N30" s="142"/>
      <c r="O30" s="144"/>
      <c r="P30" s="40"/>
    </row>
    <row r="31" ht="15.75" customHeight="1">
      <c r="A31" s="40"/>
      <c r="B31" s="89"/>
      <c r="C31" s="16"/>
      <c r="D31" s="16"/>
      <c r="E31" s="16"/>
      <c r="F31" s="16"/>
      <c r="G31" s="16"/>
      <c r="H31" s="16"/>
      <c r="I31" s="16"/>
      <c r="J31" s="90"/>
      <c r="K31" s="91"/>
      <c r="L31" s="92" t="b">
        <v>0</v>
      </c>
      <c r="M31" s="93"/>
      <c r="N31" s="94"/>
      <c r="O31" s="95"/>
      <c r="P31" s="40"/>
    </row>
    <row r="32" ht="15.75" customHeight="1">
      <c r="A32" s="40"/>
      <c r="B32" s="96"/>
      <c r="C32" s="96"/>
      <c r="D32" s="96"/>
      <c r="E32" s="96"/>
      <c r="F32" s="96"/>
      <c r="G32" s="96"/>
      <c r="H32" s="96"/>
      <c r="I32" s="1"/>
      <c r="J32" s="101" t="s">
        <v>81</v>
      </c>
      <c r="K32" s="102"/>
      <c r="L32" s="1"/>
      <c r="M32" s="1"/>
      <c r="N32" s="97"/>
      <c r="O32" s="97"/>
      <c r="P32" s="40"/>
    </row>
    <row r="33" ht="15.75" customHeight="1">
      <c r="A33" s="40"/>
      <c r="B33" s="96"/>
      <c r="C33" s="96"/>
      <c r="D33" s="96"/>
      <c r="E33" s="96"/>
      <c r="F33" s="96"/>
      <c r="G33" s="96"/>
      <c r="H33" s="96"/>
      <c r="I33" s="100"/>
      <c r="J33" s="108" t="s">
        <v>63</v>
      </c>
      <c r="K33" s="109"/>
      <c r="L33" s="110"/>
      <c r="M33" s="111" t="s">
        <v>64</v>
      </c>
      <c r="N33" s="109"/>
      <c r="O33" s="102"/>
      <c r="P33" s="40"/>
    </row>
    <row r="34" ht="15.75" customHeight="1">
      <c r="A34" s="40"/>
      <c r="B34" s="19" t="s">
        <v>82</v>
      </c>
      <c r="C34" s="150"/>
      <c r="D34" s="150"/>
      <c r="E34" s="150"/>
      <c r="F34" s="150"/>
      <c r="G34" s="150"/>
      <c r="H34" s="150"/>
      <c r="I34" s="100"/>
      <c r="J34" s="117" t="str">
        <f t="array" ref="J34">GPA({K22:K31,M22:M31,O22:O31},1,2)</f>
        <v>Loading...</v>
      </c>
      <c r="K34" s="118"/>
      <c r="L34" s="110"/>
      <c r="M34" s="119" t="str">
        <f t="array" ref="M34">CREDITSSUM({K22:K31,M22:M31},1,2)</f>
        <v>Loading...</v>
      </c>
      <c r="N34" s="118"/>
      <c r="O34" s="120"/>
      <c r="P34" s="40"/>
    </row>
    <row r="35" ht="31.5" customHeight="1">
      <c r="A35" s="40"/>
      <c r="B35" s="76" t="s">
        <v>53</v>
      </c>
      <c r="C35" s="8"/>
      <c r="D35" s="8"/>
      <c r="E35" s="8"/>
      <c r="F35" s="8"/>
      <c r="G35" s="8"/>
      <c r="H35" s="8"/>
      <c r="I35" s="8"/>
      <c r="J35" s="77"/>
      <c r="K35" s="78" t="s">
        <v>54</v>
      </c>
      <c r="L35" s="79" t="s">
        <v>55</v>
      </c>
      <c r="M35" s="80" t="s">
        <v>56</v>
      </c>
      <c r="N35" s="81"/>
      <c r="O35" s="82" t="s">
        <v>57</v>
      </c>
      <c r="P35" s="1"/>
    </row>
    <row r="36" ht="15.75" customHeight="1">
      <c r="A36" s="40"/>
      <c r="B36" s="83"/>
      <c r="J36" s="47"/>
      <c r="K36" s="84"/>
      <c r="L36" s="85"/>
      <c r="M36" s="86"/>
      <c r="N36" s="87"/>
      <c r="O36" s="88"/>
      <c r="P36" s="1"/>
    </row>
    <row r="37" ht="15.75" customHeight="1">
      <c r="A37" s="40"/>
      <c r="B37" s="141"/>
      <c r="J37" s="47"/>
      <c r="K37" s="84"/>
      <c r="L37" s="85" t="b">
        <v>0</v>
      </c>
      <c r="M37" s="86"/>
      <c r="N37" s="142"/>
      <c r="O37" s="88"/>
      <c r="P37" s="40"/>
    </row>
    <row r="38" ht="15.75" customHeight="1">
      <c r="A38" s="40"/>
      <c r="B38" s="141"/>
      <c r="J38" s="47"/>
      <c r="K38" s="84"/>
      <c r="L38" s="143" t="b">
        <v>0</v>
      </c>
      <c r="M38" s="86"/>
      <c r="N38" s="142"/>
      <c r="O38" s="144"/>
      <c r="P38" s="40"/>
    </row>
    <row r="39" ht="15.75" customHeight="1">
      <c r="A39" s="40"/>
      <c r="B39" s="141"/>
      <c r="J39" s="47"/>
      <c r="K39" s="145"/>
      <c r="L39" s="143" t="b">
        <v>0</v>
      </c>
      <c r="M39" s="146"/>
      <c r="N39" s="142"/>
      <c r="O39" s="144"/>
      <c r="P39" s="40"/>
    </row>
    <row r="40" ht="15.75" customHeight="1">
      <c r="A40" s="40"/>
      <c r="B40" s="141"/>
      <c r="J40" s="47"/>
      <c r="K40" s="145"/>
      <c r="L40" s="85" t="b">
        <v>0</v>
      </c>
      <c r="M40" s="146"/>
      <c r="N40" s="142"/>
      <c r="O40" s="144"/>
      <c r="P40" s="40"/>
    </row>
    <row r="41" ht="15.75" customHeight="1">
      <c r="A41" s="40"/>
      <c r="B41" s="141"/>
      <c r="J41" s="47"/>
      <c r="K41" s="145"/>
      <c r="L41" s="85" t="b">
        <v>0</v>
      </c>
      <c r="M41" s="146"/>
      <c r="N41" s="142"/>
      <c r="O41" s="144"/>
      <c r="P41" s="40"/>
    </row>
    <row r="42" ht="15.75" customHeight="1">
      <c r="A42" s="40"/>
      <c r="B42" s="141"/>
      <c r="J42" s="47"/>
      <c r="K42" s="146"/>
      <c r="L42" s="85" t="b">
        <v>0</v>
      </c>
      <c r="M42" s="146"/>
      <c r="N42" s="142"/>
      <c r="O42" s="144"/>
      <c r="P42" s="40"/>
    </row>
    <row r="43" ht="15.75" customHeight="1">
      <c r="A43" s="40"/>
      <c r="B43" s="141"/>
      <c r="J43" s="47"/>
      <c r="K43" s="145"/>
      <c r="L43" s="143" t="b">
        <v>0</v>
      </c>
      <c r="M43" s="146"/>
      <c r="N43" s="142"/>
      <c r="O43" s="144"/>
      <c r="P43" s="40"/>
    </row>
    <row r="44" ht="15.75" customHeight="1">
      <c r="A44" s="40"/>
      <c r="B44" s="141"/>
      <c r="J44" s="47"/>
      <c r="K44" s="145"/>
      <c r="L44" s="143" t="b">
        <v>0</v>
      </c>
      <c r="M44" s="146"/>
      <c r="N44" s="142"/>
      <c r="O44" s="144"/>
      <c r="P44" s="40"/>
    </row>
    <row r="45" ht="15.75" customHeight="1">
      <c r="A45" s="40"/>
      <c r="B45" s="89"/>
      <c r="C45" s="16"/>
      <c r="D45" s="16"/>
      <c r="E45" s="16"/>
      <c r="F45" s="16"/>
      <c r="G45" s="16"/>
      <c r="H45" s="16"/>
      <c r="I45" s="16"/>
      <c r="J45" s="90"/>
      <c r="K45" s="91"/>
      <c r="L45" s="92" t="b">
        <v>0</v>
      </c>
      <c r="M45" s="93"/>
      <c r="N45" s="94"/>
      <c r="O45" s="95"/>
      <c r="P45" s="40"/>
    </row>
    <row r="46" ht="15.75" customHeight="1">
      <c r="A46" s="40"/>
      <c r="B46" s="96"/>
      <c r="C46" s="96"/>
      <c r="D46" s="96"/>
      <c r="E46" s="96"/>
      <c r="F46" s="96"/>
      <c r="G46" s="96"/>
      <c r="H46" s="96"/>
      <c r="I46" s="1"/>
      <c r="J46" s="101" t="s">
        <v>83</v>
      </c>
      <c r="K46" s="102"/>
      <c r="L46" s="1"/>
      <c r="M46" s="1"/>
      <c r="N46" s="97"/>
      <c r="O46" s="97"/>
      <c r="P46" s="40"/>
    </row>
    <row r="47" ht="15.75" customHeight="1">
      <c r="A47" s="40"/>
      <c r="B47" s="96"/>
      <c r="C47" s="96"/>
      <c r="D47" s="96"/>
      <c r="E47" s="96"/>
      <c r="F47" s="96"/>
      <c r="G47" s="96"/>
      <c r="H47" s="96"/>
      <c r="I47" s="100"/>
      <c r="J47" s="108" t="s">
        <v>63</v>
      </c>
      <c r="K47" s="109"/>
      <c r="L47" s="110"/>
      <c r="M47" s="111" t="s">
        <v>64</v>
      </c>
      <c r="N47" s="109"/>
      <c r="O47" s="102"/>
      <c r="P47" s="40"/>
    </row>
    <row r="48" ht="15.75" customHeight="1">
      <c r="A48" s="40"/>
      <c r="B48" s="98" t="s">
        <v>58</v>
      </c>
      <c r="C48" s="99"/>
      <c r="D48" s="99"/>
      <c r="E48" s="99"/>
      <c r="F48" s="99"/>
      <c r="G48" s="99"/>
      <c r="H48" s="99"/>
      <c r="I48" s="100"/>
      <c r="J48" s="117" t="str">
        <f t="array" ref="J48">GPA({K36:K45,M36:M45,O36:O45},1,2)</f>
        <v>Loading...</v>
      </c>
      <c r="K48" s="118"/>
      <c r="L48" s="110"/>
      <c r="M48" s="119" t="str">
        <f t="array" ref="M48">CREDITSSUM({K36:K45,M36:M45},1,2)</f>
        <v>Loading...</v>
      </c>
      <c r="N48" s="118"/>
      <c r="O48" s="120"/>
      <c r="P48" s="40"/>
    </row>
    <row r="49" ht="15.75" customHeight="1">
      <c r="A49" s="40"/>
      <c r="B49" s="103" t="s">
        <v>60</v>
      </c>
      <c r="C49" s="104" t="s">
        <v>61</v>
      </c>
      <c r="D49" s="105"/>
      <c r="E49" s="106"/>
      <c r="F49" s="104" t="s">
        <v>62</v>
      </c>
      <c r="G49" s="105"/>
      <c r="H49" s="107"/>
      <c r="I49" s="110"/>
      <c r="J49" s="1"/>
      <c r="K49" s="1"/>
      <c r="L49" s="1"/>
      <c r="M49" s="1"/>
      <c r="N49" s="1"/>
      <c r="O49" s="1"/>
      <c r="P49" s="40"/>
    </row>
    <row r="50" ht="15.75" customHeight="1">
      <c r="A50" s="40"/>
      <c r="B50" s="112"/>
      <c r="C50" s="113" t="s">
        <v>65</v>
      </c>
      <c r="D50" s="114" t="s">
        <v>66</v>
      </c>
      <c r="E50" s="115" t="s">
        <v>67</v>
      </c>
      <c r="F50" s="113" t="s">
        <v>65</v>
      </c>
      <c r="G50" s="114" t="s">
        <v>66</v>
      </c>
      <c r="H50" s="116" t="s">
        <v>67</v>
      </c>
      <c r="I50" s="110"/>
      <c r="J50" s="101" t="s">
        <v>59</v>
      </c>
      <c r="K50" s="102"/>
      <c r="L50" s="1"/>
      <c r="M50" s="1"/>
      <c r="N50" s="97"/>
      <c r="O50" s="97"/>
      <c r="P50" s="40"/>
    </row>
    <row r="51" ht="15.75" customHeight="1">
      <c r="A51" s="40"/>
      <c r="B51" s="121" t="s">
        <v>68</v>
      </c>
      <c r="C51" s="122"/>
      <c r="D51" s="84"/>
      <c r="E51" s="123"/>
      <c r="F51" s="86"/>
      <c r="G51" s="84"/>
      <c r="H51" s="124"/>
      <c r="I51" s="110"/>
      <c r="J51" s="108" t="s">
        <v>63</v>
      </c>
      <c r="K51" s="109"/>
      <c r="L51" s="110"/>
      <c r="M51" s="111" t="s">
        <v>64</v>
      </c>
      <c r="N51" s="109"/>
      <c r="O51" s="102"/>
      <c r="P51" s="40"/>
    </row>
    <row r="52" ht="15.75" customHeight="1">
      <c r="A52" s="40"/>
      <c r="B52" s="125" t="s">
        <v>69</v>
      </c>
      <c r="C52" s="126"/>
      <c r="D52" s="127"/>
      <c r="E52" s="128"/>
      <c r="F52" s="129"/>
      <c r="G52" s="127"/>
      <c r="H52" s="130"/>
      <c r="I52" s="110"/>
      <c r="J52" s="117" t="str">
        <f t="array" ref="J52">GPA({K8:K17,M8:M17,O8:O17;K22:K31,M22:M31,O22:O31;K36:K45,M36:M45,O36:O45},1,2)</f>
        <v>Loading...</v>
      </c>
      <c r="K52" s="118"/>
      <c r="L52" s="110"/>
      <c r="M52" s="119" t="str">
        <f t="array" ref="M52">CREDITSSUM({K8:K17,M8:M17;K22:K31,M22:M31;K36:K45,M36:M45},1,2)</f>
        <v>Loading...</v>
      </c>
      <c r="N52" s="118"/>
      <c r="O52" s="120"/>
      <c r="P52" s="40"/>
    </row>
    <row r="53" ht="15.75" customHeight="1">
      <c r="A53" s="40"/>
      <c r="I53" s="97"/>
      <c r="J53" s="97"/>
      <c r="K53" s="97"/>
      <c r="L53" s="131"/>
      <c r="M53" s="97"/>
      <c r="N53" s="97"/>
      <c r="O53" s="97"/>
      <c r="P53" s="40"/>
    </row>
    <row r="54" ht="15.75" customHeight="1">
      <c r="A54" s="40"/>
      <c r="I54" s="97"/>
      <c r="J54" s="97"/>
      <c r="K54" s="97"/>
      <c r="L54" s="131"/>
      <c r="M54" s="97"/>
      <c r="N54" s="97"/>
      <c r="O54" s="97"/>
      <c r="P54" s="40"/>
    </row>
    <row r="55" ht="15.75" customHeight="1">
      <c r="A55" s="40"/>
      <c r="B55" s="96"/>
      <c r="C55" s="96"/>
      <c r="D55" s="96"/>
      <c r="E55" s="96"/>
      <c r="F55" s="96"/>
      <c r="G55" s="96"/>
      <c r="H55" s="96"/>
      <c r="I55" s="97"/>
      <c r="J55" s="97"/>
      <c r="K55" s="97"/>
      <c r="L55" s="131"/>
      <c r="M55" s="97"/>
      <c r="N55" s="97"/>
      <c r="O55" s="97"/>
      <c r="P55" s="40"/>
    </row>
    <row r="56" ht="15.75" customHeight="1">
      <c r="A56" s="40"/>
      <c r="B56" s="96"/>
      <c r="C56" s="96"/>
      <c r="D56" s="96"/>
      <c r="E56" s="96"/>
      <c r="F56" s="96"/>
      <c r="G56" s="96"/>
      <c r="H56" s="96"/>
      <c r="I56" s="97"/>
      <c r="J56" s="97"/>
      <c r="K56" s="97"/>
      <c r="L56" s="131"/>
      <c r="M56" s="97"/>
      <c r="N56" s="97"/>
      <c r="O56" s="97"/>
      <c r="P56" s="40"/>
    </row>
  </sheetData>
  <mergeCells count="74">
    <mergeCell ref="B28:J28"/>
    <mergeCell ref="B29:J29"/>
    <mergeCell ref="B30:J30"/>
    <mergeCell ref="B31:J31"/>
    <mergeCell ref="J32:K32"/>
    <mergeCell ref="J33:K33"/>
    <mergeCell ref="J34:K34"/>
    <mergeCell ref="B35:J35"/>
    <mergeCell ref="B36:J36"/>
    <mergeCell ref="B37:J37"/>
    <mergeCell ref="B38:J38"/>
    <mergeCell ref="B39:J39"/>
    <mergeCell ref="B40:J40"/>
    <mergeCell ref="B41:J41"/>
    <mergeCell ref="M47:O47"/>
    <mergeCell ref="M48:O48"/>
    <mergeCell ref="M51:O51"/>
    <mergeCell ref="M52:O52"/>
    <mergeCell ref="B49:B50"/>
    <mergeCell ref="C49:E49"/>
    <mergeCell ref="F49:H49"/>
    <mergeCell ref="J50:K50"/>
    <mergeCell ref="J51:K51"/>
    <mergeCell ref="J52:K52"/>
    <mergeCell ref="B42:J42"/>
    <mergeCell ref="B43:J43"/>
    <mergeCell ref="B44:J44"/>
    <mergeCell ref="B45:J45"/>
    <mergeCell ref="J46:K46"/>
    <mergeCell ref="J47:K47"/>
    <mergeCell ref="J48:K48"/>
    <mergeCell ref="C1:H1"/>
    <mergeCell ref="I1:O1"/>
    <mergeCell ref="C2:E2"/>
    <mergeCell ref="F2:H2"/>
    <mergeCell ref="I2:J2"/>
    <mergeCell ref="K2:O2"/>
    <mergeCell ref="C3:E3"/>
    <mergeCell ref="K3:O3"/>
    <mergeCell ref="F3:H3"/>
    <mergeCell ref="I3:J3"/>
    <mergeCell ref="C4:E4"/>
    <mergeCell ref="F4:H4"/>
    <mergeCell ref="I4:J4"/>
    <mergeCell ref="K4:O4"/>
    <mergeCell ref="C5:E6"/>
    <mergeCell ref="K5:O6"/>
    <mergeCell ref="F5:H6"/>
    <mergeCell ref="I5:J6"/>
    <mergeCell ref="B7:J7"/>
    <mergeCell ref="B8:J8"/>
    <mergeCell ref="B9:J9"/>
    <mergeCell ref="B10:J10"/>
    <mergeCell ref="B11:J11"/>
    <mergeCell ref="J19:K19"/>
    <mergeCell ref="M19:O19"/>
    <mergeCell ref="J20:K20"/>
    <mergeCell ref="M20:O20"/>
    <mergeCell ref="B12:J12"/>
    <mergeCell ref="B13:J13"/>
    <mergeCell ref="B14:J14"/>
    <mergeCell ref="B15:J15"/>
    <mergeCell ref="B16:J16"/>
    <mergeCell ref="B17:J17"/>
    <mergeCell ref="J18:K18"/>
    <mergeCell ref="B21:J21"/>
    <mergeCell ref="B22:J22"/>
    <mergeCell ref="B23:J23"/>
    <mergeCell ref="B24:J24"/>
    <mergeCell ref="B25:J25"/>
    <mergeCell ref="B26:J26"/>
    <mergeCell ref="B27:J27"/>
    <mergeCell ref="M33:O33"/>
    <mergeCell ref="M34:O34"/>
  </mergeCells>
  <dataValidations>
    <dataValidation type="custom" allowBlank="1" showDropDown="1" showInputMessage="1" showErrorMessage="1" prompt="Enter a number" sqref="K8:K15 O8:O17 K22:K30 O22:O31 K36:K44 O36:O45">
      <formula1>ISNUMBER(K8)</formula1>
    </dataValidation>
    <dataValidation type="list" allowBlank="1" showInputMessage="1" showErrorMessage="1" prompt="Click and enter a valid scale from the list of items. The valid scales are Letter, 0-100, 0-4, and None" sqref="B3">
      <formula1>"Letter,0-4,0-100,None"</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8.88"/>
    <col customWidth="1" min="3" max="8" width="6.38"/>
    <col customWidth="1" hidden="1" min="9" max="9" width="18.88"/>
    <col customWidth="1" min="10" max="10" width="18.88"/>
    <col customWidth="1" min="11" max="11" width="6.38"/>
    <col customWidth="1" hidden="1" min="12" max="12" width="18.88"/>
    <col customWidth="1" min="13" max="13" width="6.38"/>
    <col customWidth="1" hidden="1" min="14" max="14" width="6.38"/>
    <col customWidth="1" min="15" max="15" width="6.38"/>
  </cols>
  <sheetData>
    <row r="1" ht="31.5" customHeight="1">
      <c r="A1" s="58"/>
      <c r="B1" s="1"/>
      <c r="C1" s="71" t="s">
        <v>5</v>
      </c>
      <c r="I1" s="58" t="s">
        <v>6</v>
      </c>
      <c r="P1" s="72"/>
    </row>
    <row r="2" ht="15.75" customHeight="1">
      <c r="A2" s="73"/>
      <c r="B2" s="74" t="s">
        <v>50</v>
      </c>
      <c r="C2" s="59" t="s">
        <v>8</v>
      </c>
      <c r="F2" s="60" t="str">
        <f>'Getting Started'!$G$10</f>
        <v/>
      </c>
      <c r="I2" s="59" t="s">
        <v>9</v>
      </c>
      <c r="K2" s="60" t="str">
        <f>'Getting Started'!$I$10</f>
        <v/>
      </c>
      <c r="P2" s="40"/>
    </row>
    <row r="3" ht="15.75" customHeight="1">
      <c r="A3" s="73"/>
      <c r="B3" s="75" t="s">
        <v>51</v>
      </c>
      <c r="C3" s="59" t="s">
        <v>11</v>
      </c>
      <c r="F3" s="61" t="str">
        <f>'Getting Started'!$G$11</f>
        <v/>
      </c>
      <c r="I3" s="59" t="s">
        <v>12</v>
      </c>
      <c r="K3" s="60" t="str">
        <f>'Getting Started'!$I$11</f>
        <v/>
      </c>
      <c r="P3" s="40"/>
    </row>
    <row r="4" ht="31.5" customHeight="1">
      <c r="A4" s="73"/>
      <c r="B4" s="1"/>
      <c r="C4" s="59" t="s">
        <v>13</v>
      </c>
      <c r="F4" s="60" t="str">
        <f>'Getting Started'!$G$12</f>
        <v/>
      </c>
      <c r="I4" s="59" t="s">
        <v>14</v>
      </c>
      <c r="K4" s="60" t="str">
        <f>'Getting Started'!$I$12</f>
        <v/>
      </c>
      <c r="P4" s="40"/>
    </row>
    <row r="5" ht="15.75" customHeight="1">
      <c r="A5" s="73"/>
      <c r="B5" s="1"/>
      <c r="C5" s="59" t="s">
        <v>15</v>
      </c>
      <c r="F5" s="62" t="str">
        <f>'Getting Started'!$G$14</f>
        <v/>
      </c>
      <c r="I5" s="59" t="s">
        <v>16</v>
      </c>
      <c r="K5" s="60" t="str">
        <f>'Getting Started'!$I$14</f>
        <v/>
      </c>
      <c r="P5" s="40"/>
    </row>
    <row r="6" ht="15.75" customHeight="1">
      <c r="A6" s="73"/>
      <c r="B6" s="19" t="s">
        <v>78</v>
      </c>
      <c r="P6" s="40"/>
    </row>
    <row r="7" ht="31.5" customHeight="1">
      <c r="A7" s="40"/>
      <c r="B7" s="76" t="s">
        <v>53</v>
      </c>
      <c r="C7" s="8"/>
      <c r="D7" s="8"/>
      <c r="E7" s="8"/>
      <c r="F7" s="8"/>
      <c r="G7" s="8"/>
      <c r="H7" s="8"/>
      <c r="I7" s="8"/>
      <c r="J7" s="77"/>
      <c r="K7" s="78" t="s">
        <v>54</v>
      </c>
      <c r="L7" s="79" t="s">
        <v>55</v>
      </c>
      <c r="M7" s="80" t="s">
        <v>56</v>
      </c>
      <c r="N7" s="81"/>
      <c r="O7" s="82" t="s">
        <v>57</v>
      </c>
      <c r="P7" s="1"/>
    </row>
    <row r="8" ht="15.75" customHeight="1">
      <c r="A8" s="40"/>
      <c r="B8" s="83"/>
      <c r="J8" s="47"/>
      <c r="K8" s="84"/>
      <c r="L8" s="85"/>
      <c r="M8" s="86"/>
      <c r="N8" s="87"/>
      <c r="O8" s="88"/>
      <c r="P8" s="1"/>
    </row>
    <row r="9" ht="15.75" customHeight="1">
      <c r="A9" s="40"/>
      <c r="B9" s="141"/>
      <c r="J9" s="47"/>
      <c r="K9" s="84"/>
      <c r="L9" s="85" t="b">
        <v>0</v>
      </c>
      <c r="M9" s="86"/>
      <c r="N9" s="142"/>
      <c r="O9" s="88"/>
      <c r="P9" s="40"/>
    </row>
    <row r="10" ht="15.75" customHeight="1">
      <c r="A10" s="40"/>
      <c r="B10" s="141"/>
      <c r="J10" s="47"/>
      <c r="K10" s="84"/>
      <c r="L10" s="143" t="b">
        <v>0</v>
      </c>
      <c r="M10" s="86"/>
      <c r="N10" s="142"/>
      <c r="O10" s="144"/>
      <c r="P10" s="40"/>
    </row>
    <row r="11" ht="15.75" customHeight="1">
      <c r="A11" s="40"/>
      <c r="B11" s="141"/>
      <c r="J11" s="47"/>
      <c r="K11" s="145"/>
      <c r="L11" s="85" t="b">
        <v>0</v>
      </c>
      <c r="M11" s="146"/>
      <c r="N11" s="142"/>
      <c r="O11" s="144"/>
      <c r="P11" s="40"/>
    </row>
    <row r="12" ht="15.75" customHeight="1">
      <c r="A12" s="40"/>
      <c r="B12" s="141"/>
      <c r="J12" s="47"/>
      <c r="K12" s="145"/>
      <c r="L12" s="85" t="b">
        <v>0</v>
      </c>
      <c r="M12" s="146"/>
      <c r="N12" s="142"/>
      <c r="O12" s="144"/>
      <c r="P12" s="40"/>
    </row>
    <row r="13" ht="15.75" customHeight="1">
      <c r="A13" s="40"/>
      <c r="B13" s="141"/>
      <c r="J13" s="47"/>
      <c r="K13" s="145"/>
      <c r="L13" s="85" t="b">
        <v>0</v>
      </c>
      <c r="M13" s="146"/>
      <c r="N13" s="142"/>
      <c r="O13" s="144"/>
      <c r="P13" s="40"/>
    </row>
    <row r="14" ht="15.75" customHeight="1">
      <c r="A14" s="40"/>
      <c r="B14" s="141"/>
      <c r="J14" s="47"/>
      <c r="K14" s="145"/>
      <c r="L14" s="143" t="b">
        <v>0</v>
      </c>
      <c r="M14" s="146"/>
      <c r="N14" s="142"/>
      <c r="O14" s="144"/>
      <c r="P14" s="40"/>
    </row>
    <row r="15" ht="15.75" customHeight="1">
      <c r="A15" s="40"/>
      <c r="B15" s="141"/>
      <c r="J15" s="47"/>
      <c r="K15" s="145"/>
      <c r="L15" s="143" t="b">
        <v>0</v>
      </c>
      <c r="M15" s="146"/>
      <c r="N15" s="142"/>
      <c r="O15" s="144"/>
      <c r="P15" s="40"/>
    </row>
    <row r="16" ht="15.75" customHeight="1">
      <c r="A16" s="40"/>
      <c r="B16" s="141"/>
      <c r="J16" s="47"/>
      <c r="K16" s="145"/>
      <c r="L16" s="143" t="b">
        <v>0</v>
      </c>
      <c r="M16" s="146"/>
      <c r="N16" s="142"/>
      <c r="O16" s="144"/>
      <c r="P16" s="40"/>
    </row>
    <row r="17" ht="15.75" customHeight="1">
      <c r="A17" s="40"/>
      <c r="B17" s="89"/>
      <c r="C17" s="16"/>
      <c r="D17" s="16"/>
      <c r="E17" s="16"/>
      <c r="F17" s="16"/>
      <c r="G17" s="16"/>
      <c r="H17" s="16"/>
      <c r="I17" s="16"/>
      <c r="J17" s="90"/>
      <c r="K17" s="91"/>
      <c r="L17" s="92" t="b">
        <v>0</v>
      </c>
      <c r="M17" s="93"/>
      <c r="N17" s="94"/>
      <c r="O17" s="95"/>
      <c r="P17" s="40"/>
    </row>
    <row r="18" ht="15.75" customHeight="1">
      <c r="A18" s="40"/>
      <c r="B18" s="96"/>
      <c r="C18" s="96"/>
      <c r="D18" s="96"/>
      <c r="E18" s="96"/>
      <c r="F18" s="96"/>
      <c r="G18" s="96"/>
      <c r="H18" s="96"/>
      <c r="I18" s="1"/>
      <c r="J18" s="101" t="s">
        <v>79</v>
      </c>
      <c r="K18" s="102"/>
      <c r="L18" s="1"/>
      <c r="M18" s="1"/>
      <c r="N18" s="97"/>
      <c r="O18" s="97"/>
      <c r="P18" s="40"/>
    </row>
    <row r="19" ht="15.75" customHeight="1">
      <c r="A19" s="40"/>
      <c r="B19" s="96"/>
      <c r="C19" s="96"/>
      <c r="D19" s="96"/>
      <c r="E19" s="96"/>
      <c r="F19" s="96"/>
      <c r="G19" s="96"/>
      <c r="H19" s="96"/>
      <c r="I19" s="100"/>
      <c r="J19" s="108" t="s">
        <v>63</v>
      </c>
      <c r="K19" s="109"/>
      <c r="L19" s="110"/>
      <c r="M19" s="111" t="s">
        <v>64</v>
      </c>
      <c r="N19" s="109"/>
      <c r="O19" s="102"/>
      <c r="P19" s="40"/>
    </row>
    <row r="20" ht="15.75" customHeight="1">
      <c r="A20" s="40"/>
      <c r="B20" s="19" t="s">
        <v>80</v>
      </c>
      <c r="C20" s="150"/>
      <c r="D20" s="150"/>
      <c r="E20" s="150"/>
      <c r="F20" s="150"/>
      <c r="G20" s="150"/>
      <c r="H20" s="150"/>
      <c r="I20" s="100"/>
      <c r="J20" s="117" t="str">
        <f t="array" ref="J20">GPA({K8:K17,M8:M17,O8:O17},1,2)</f>
        <v>Loading...</v>
      </c>
      <c r="K20" s="118"/>
      <c r="L20" s="110"/>
      <c r="M20" s="119" t="str">
        <f t="array" ref="M20">CREDITSSUM({K8:K17,M8:M17},1,2)</f>
        <v>Loading...</v>
      </c>
      <c r="N20" s="118"/>
      <c r="O20" s="120"/>
      <c r="P20" s="40"/>
    </row>
    <row r="21" ht="31.5" customHeight="1">
      <c r="A21" s="40"/>
      <c r="B21" s="76" t="s">
        <v>53</v>
      </c>
      <c r="C21" s="8"/>
      <c r="D21" s="8"/>
      <c r="E21" s="8"/>
      <c r="F21" s="8"/>
      <c r="G21" s="8"/>
      <c r="H21" s="8"/>
      <c r="I21" s="8"/>
      <c r="J21" s="77"/>
      <c r="K21" s="78" t="s">
        <v>54</v>
      </c>
      <c r="L21" s="79" t="s">
        <v>55</v>
      </c>
      <c r="M21" s="80" t="s">
        <v>56</v>
      </c>
      <c r="N21" s="81"/>
      <c r="O21" s="82" t="s">
        <v>57</v>
      </c>
      <c r="P21" s="1"/>
    </row>
    <row r="22" ht="15.75" customHeight="1">
      <c r="A22" s="40"/>
      <c r="B22" s="83"/>
      <c r="J22" s="47"/>
      <c r="K22" s="84"/>
      <c r="L22" s="85"/>
      <c r="M22" s="86"/>
      <c r="N22" s="87"/>
      <c r="O22" s="88"/>
      <c r="P22" s="1"/>
    </row>
    <row r="23" ht="15.75" customHeight="1">
      <c r="A23" s="40"/>
      <c r="B23" s="141"/>
      <c r="J23" s="47"/>
      <c r="K23" s="84"/>
      <c r="L23" s="85" t="b">
        <v>0</v>
      </c>
      <c r="M23" s="86"/>
      <c r="N23" s="142"/>
      <c r="O23" s="88"/>
      <c r="P23" s="40"/>
    </row>
    <row r="24" ht="15.75" customHeight="1">
      <c r="A24" s="40"/>
      <c r="B24" s="141"/>
      <c r="J24" s="47"/>
      <c r="K24" s="84"/>
      <c r="L24" s="143" t="b">
        <v>0</v>
      </c>
      <c r="M24" s="86"/>
      <c r="N24" s="142"/>
      <c r="O24" s="144"/>
      <c r="P24" s="40"/>
    </row>
    <row r="25" ht="15.75" customHeight="1">
      <c r="A25" s="40"/>
      <c r="B25" s="141"/>
      <c r="J25" s="47"/>
      <c r="K25" s="145"/>
      <c r="L25" s="143" t="b">
        <v>0</v>
      </c>
      <c r="M25" s="146"/>
      <c r="N25" s="142"/>
      <c r="O25" s="144"/>
      <c r="P25" s="40"/>
    </row>
    <row r="26" ht="15.75" customHeight="1">
      <c r="A26" s="40"/>
      <c r="B26" s="141"/>
      <c r="J26" s="47"/>
      <c r="K26" s="145"/>
      <c r="L26" s="85" t="b">
        <v>0</v>
      </c>
      <c r="M26" s="146"/>
      <c r="N26" s="142"/>
      <c r="O26" s="144"/>
      <c r="P26" s="40"/>
    </row>
    <row r="27" ht="15.75" customHeight="1">
      <c r="A27" s="40"/>
      <c r="B27" s="141"/>
      <c r="J27" s="47"/>
      <c r="K27" s="145"/>
      <c r="L27" s="85" t="b">
        <v>0</v>
      </c>
      <c r="M27" s="146"/>
      <c r="N27" s="142"/>
      <c r="O27" s="144"/>
      <c r="P27" s="40"/>
    </row>
    <row r="28" ht="15.75" customHeight="1">
      <c r="A28" s="40"/>
      <c r="B28" s="141"/>
      <c r="J28" s="47"/>
      <c r="K28" s="146"/>
      <c r="L28" s="85" t="b">
        <v>0</v>
      </c>
      <c r="M28" s="146"/>
      <c r="N28" s="142"/>
      <c r="O28" s="144"/>
      <c r="P28" s="40"/>
    </row>
    <row r="29" ht="15.75" customHeight="1">
      <c r="A29" s="40"/>
      <c r="B29" s="141"/>
      <c r="J29" s="47"/>
      <c r="K29" s="145"/>
      <c r="L29" s="143" t="b">
        <v>0</v>
      </c>
      <c r="M29" s="146"/>
      <c r="N29" s="142"/>
      <c r="O29" s="144"/>
      <c r="P29" s="40"/>
    </row>
    <row r="30" ht="15.75" customHeight="1">
      <c r="A30" s="40"/>
      <c r="B30" s="141"/>
      <c r="J30" s="47"/>
      <c r="K30" s="145"/>
      <c r="L30" s="143" t="b">
        <v>0</v>
      </c>
      <c r="M30" s="146"/>
      <c r="N30" s="142"/>
      <c r="O30" s="144"/>
      <c r="P30" s="40"/>
    </row>
    <row r="31" ht="15.75" customHeight="1">
      <c r="A31" s="40"/>
      <c r="B31" s="89"/>
      <c r="C31" s="16"/>
      <c r="D31" s="16"/>
      <c r="E31" s="16"/>
      <c r="F31" s="16"/>
      <c r="G31" s="16"/>
      <c r="H31" s="16"/>
      <c r="I31" s="16"/>
      <c r="J31" s="90"/>
      <c r="K31" s="91"/>
      <c r="L31" s="92" t="b">
        <v>0</v>
      </c>
      <c r="M31" s="93"/>
      <c r="N31" s="94"/>
      <c r="O31" s="95"/>
      <c r="P31" s="40"/>
    </row>
    <row r="32" ht="15.75" customHeight="1">
      <c r="A32" s="40"/>
      <c r="B32" s="96"/>
      <c r="C32" s="96"/>
      <c r="D32" s="96"/>
      <c r="E32" s="96"/>
      <c r="F32" s="96"/>
      <c r="G32" s="96"/>
      <c r="H32" s="96"/>
      <c r="I32" s="1"/>
      <c r="J32" s="101" t="s">
        <v>81</v>
      </c>
      <c r="K32" s="102"/>
      <c r="L32" s="1"/>
      <c r="M32" s="1"/>
      <c r="N32" s="97"/>
      <c r="O32" s="97"/>
      <c r="P32" s="40"/>
    </row>
    <row r="33" ht="15.75" customHeight="1">
      <c r="A33" s="40"/>
      <c r="B33" s="96"/>
      <c r="C33" s="96"/>
      <c r="D33" s="96"/>
      <c r="E33" s="96"/>
      <c r="F33" s="96"/>
      <c r="G33" s="96"/>
      <c r="H33" s="96"/>
      <c r="I33" s="100"/>
      <c r="J33" s="108" t="s">
        <v>63</v>
      </c>
      <c r="K33" s="109"/>
      <c r="L33" s="110"/>
      <c r="M33" s="111" t="s">
        <v>64</v>
      </c>
      <c r="N33" s="109"/>
      <c r="O33" s="102"/>
      <c r="P33" s="40"/>
    </row>
    <row r="34" ht="15.75" customHeight="1">
      <c r="A34" s="40"/>
      <c r="B34" s="19" t="s">
        <v>82</v>
      </c>
      <c r="C34" s="150"/>
      <c r="D34" s="150"/>
      <c r="E34" s="150"/>
      <c r="F34" s="150"/>
      <c r="G34" s="150"/>
      <c r="H34" s="150"/>
      <c r="I34" s="100"/>
      <c r="J34" s="117" t="str">
        <f t="array" ref="J34">GPA({K22:K31,M22:M31,O22:O31},1,2)</f>
        <v>Loading...</v>
      </c>
      <c r="K34" s="118"/>
      <c r="L34" s="110"/>
      <c r="M34" s="119" t="str">
        <f t="array" ref="M34">CREDITSSUM({K22:K31,M22:M31},1,2)</f>
        <v>Loading...</v>
      </c>
      <c r="N34" s="118"/>
      <c r="O34" s="120"/>
      <c r="P34" s="40"/>
    </row>
    <row r="35" ht="31.5" customHeight="1">
      <c r="A35" s="40"/>
      <c r="B35" s="76" t="s">
        <v>53</v>
      </c>
      <c r="C35" s="8"/>
      <c r="D35" s="8"/>
      <c r="E35" s="8"/>
      <c r="F35" s="8"/>
      <c r="G35" s="8"/>
      <c r="H35" s="8"/>
      <c r="I35" s="8"/>
      <c r="J35" s="77"/>
      <c r="K35" s="78" t="s">
        <v>54</v>
      </c>
      <c r="L35" s="79" t="s">
        <v>55</v>
      </c>
      <c r="M35" s="80" t="s">
        <v>56</v>
      </c>
      <c r="N35" s="81"/>
      <c r="O35" s="82" t="s">
        <v>57</v>
      </c>
      <c r="P35" s="1"/>
    </row>
    <row r="36" ht="15.75" customHeight="1">
      <c r="A36" s="40"/>
      <c r="B36" s="83"/>
      <c r="J36" s="47"/>
      <c r="K36" s="84"/>
      <c r="L36" s="85"/>
      <c r="M36" s="86"/>
      <c r="N36" s="87"/>
      <c r="O36" s="88"/>
      <c r="P36" s="1"/>
    </row>
    <row r="37" ht="15.75" customHeight="1">
      <c r="A37" s="40"/>
      <c r="B37" s="141"/>
      <c r="J37" s="47"/>
      <c r="K37" s="84"/>
      <c r="L37" s="85" t="b">
        <v>0</v>
      </c>
      <c r="M37" s="86"/>
      <c r="N37" s="142"/>
      <c r="O37" s="88"/>
      <c r="P37" s="40"/>
    </row>
    <row r="38" ht="15.75" customHeight="1">
      <c r="A38" s="40"/>
      <c r="B38" s="141"/>
      <c r="J38" s="47"/>
      <c r="K38" s="84"/>
      <c r="L38" s="143" t="b">
        <v>0</v>
      </c>
      <c r="M38" s="86"/>
      <c r="N38" s="142"/>
      <c r="O38" s="144"/>
      <c r="P38" s="40"/>
    </row>
    <row r="39" ht="15.75" customHeight="1">
      <c r="A39" s="40"/>
      <c r="B39" s="141"/>
      <c r="J39" s="47"/>
      <c r="K39" s="145"/>
      <c r="L39" s="143" t="b">
        <v>0</v>
      </c>
      <c r="M39" s="146"/>
      <c r="N39" s="142"/>
      <c r="O39" s="144"/>
      <c r="P39" s="40"/>
    </row>
    <row r="40" ht="15.75" customHeight="1">
      <c r="A40" s="40"/>
      <c r="B40" s="141"/>
      <c r="J40" s="47"/>
      <c r="K40" s="145"/>
      <c r="L40" s="85" t="b">
        <v>0</v>
      </c>
      <c r="M40" s="146"/>
      <c r="N40" s="142"/>
      <c r="O40" s="144"/>
      <c r="P40" s="40"/>
    </row>
    <row r="41" ht="15.75" customHeight="1">
      <c r="A41" s="40"/>
      <c r="B41" s="141"/>
      <c r="J41" s="47"/>
      <c r="K41" s="145"/>
      <c r="L41" s="85" t="b">
        <v>0</v>
      </c>
      <c r="M41" s="146"/>
      <c r="N41" s="142"/>
      <c r="O41" s="144"/>
      <c r="P41" s="40"/>
    </row>
    <row r="42" ht="15.75" customHeight="1">
      <c r="A42" s="40"/>
      <c r="B42" s="141"/>
      <c r="J42" s="47"/>
      <c r="K42" s="146"/>
      <c r="L42" s="85" t="b">
        <v>0</v>
      </c>
      <c r="M42" s="146"/>
      <c r="N42" s="142"/>
      <c r="O42" s="144"/>
      <c r="P42" s="40"/>
    </row>
    <row r="43" ht="15.75" customHeight="1">
      <c r="A43" s="40"/>
      <c r="B43" s="141"/>
      <c r="J43" s="47"/>
      <c r="K43" s="145"/>
      <c r="L43" s="143" t="b">
        <v>0</v>
      </c>
      <c r="M43" s="146"/>
      <c r="N43" s="142"/>
      <c r="O43" s="144"/>
      <c r="P43" s="40"/>
    </row>
    <row r="44" ht="15.75" customHeight="1">
      <c r="A44" s="40"/>
      <c r="B44" s="141"/>
      <c r="J44" s="47"/>
      <c r="K44" s="145"/>
      <c r="L44" s="143" t="b">
        <v>0</v>
      </c>
      <c r="M44" s="146"/>
      <c r="N44" s="142"/>
      <c r="O44" s="144"/>
      <c r="P44" s="40"/>
    </row>
    <row r="45" ht="15.75" customHeight="1">
      <c r="A45" s="40"/>
      <c r="B45" s="89"/>
      <c r="C45" s="16"/>
      <c r="D45" s="16"/>
      <c r="E45" s="16"/>
      <c r="F45" s="16"/>
      <c r="G45" s="16"/>
      <c r="H45" s="16"/>
      <c r="I45" s="16"/>
      <c r="J45" s="90"/>
      <c r="K45" s="91"/>
      <c r="L45" s="92" t="b">
        <v>0</v>
      </c>
      <c r="M45" s="93"/>
      <c r="N45" s="94"/>
      <c r="O45" s="95"/>
      <c r="P45" s="40"/>
    </row>
    <row r="46" ht="15.75" customHeight="1">
      <c r="A46" s="40"/>
      <c r="B46" s="96"/>
      <c r="C46" s="96"/>
      <c r="D46" s="96"/>
      <c r="E46" s="96"/>
      <c r="F46" s="96"/>
      <c r="G46" s="96"/>
      <c r="H46" s="96"/>
      <c r="I46" s="1"/>
      <c r="J46" s="101" t="s">
        <v>83</v>
      </c>
      <c r="K46" s="102"/>
      <c r="L46" s="1"/>
      <c r="M46" s="1"/>
      <c r="N46" s="97"/>
      <c r="O46" s="97"/>
      <c r="P46" s="40"/>
    </row>
    <row r="47" ht="15.75" customHeight="1">
      <c r="A47" s="40"/>
      <c r="B47" s="96"/>
      <c r="C47" s="96"/>
      <c r="D47" s="96"/>
      <c r="E47" s="96"/>
      <c r="F47" s="96"/>
      <c r="G47" s="96"/>
      <c r="H47" s="96"/>
      <c r="I47" s="100"/>
      <c r="J47" s="108" t="s">
        <v>63</v>
      </c>
      <c r="K47" s="109"/>
      <c r="L47" s="110"/>
      <c r="M47" s="111" t="s">
        <v>64</v>
      </c>
      <c r="N47" s="109"/>
      <c r="O47" s="102"/>
      <c r="P47" s="40"/>
    </row>
    <row r="48" ht="15.75" customHeight="1">
      <c r="A48" s="40"/>
      <c r="B48" s="98" t="s">
        <v>58</v>
      </c>
      <c r="C48" s="99"/>
      <c r="D48" s="99"/>
      <c r="E48" s="99"/>
      <c r="F48" s="99"/>
      <c r="G48" s="99"/>
      <c r="H48" s="99"/>
      <c r="I48" s="100"/>
      <c r="J48" s="117" t="str">
        <f t="array" ref="J48">GPA({K36:K45,M36:M45,O36:O45},1,2)</f>
        <v>Loading...</v>
      </c>
      <c r="K48" s="118"/>
      <c r="L48" s="110"/>
      <c r="M48" s="119" t="str">
        <f t="array" ref="M48">CREDITSSUM({K36:K45,M36:M45},1,2)</f>
        <v>Loading...</v>
      </c>
      <c r="N48" s="118"/>
      <c r="O48" s="120"/>
      <c r="P48" s="40"/>
    </row>
    <row r="49" ht="15.75" customHeight="1">
      <c r="A49" s="40"/>
      <c r="B49" s="103" t="s">
        <v>60</v>
      </c>
      <c r="C49" s="104" t="s">
        <v>61</v>
      </c>
      <c r="D49" s="105"/>
      <c r="E49" s="106"/>
      <c r="F49" s="104" t="s">
        <v>62</v>
      </c>
      <c r="G49" s="105"/>
      <c r="H49" s="107"/>
      <c r="I49" s="110"/>
      <c r="J49" s="1"/>
      <c r="K49" s="1"/>
      <c r="L49" s="1"/>
      <c r="M49" s="1"/>
      <c r="N49" s="1"/>
      <c r="O49" s="1"/>
      <c r="P49" s="40"/>
    </row>
    <row r="50" ht="15.75" customHeight="1">
      <c r="A50" s="40"/>
      <c r="B50" s="112"/>
      <c r="C50" s="113" t="s">
        <v>65</v>
      </c>
      <c r="D50" s="114" t="s">
        <v>66</v>
      </c>
      <c r="E50" s="115" t="s">
        <v>67</v>
      </c>
      <c r="F50" s="113" t="s">
        <v>65</v>
      </c>
      <c r="G50" s="114" t="s">
        <v>66</v>
      </c>
      <c r="H50" s="116" t="s">
        <v>67</v>
      </c>
      <c r="I50" s="110"/>
      <c r="J50" s="101" t="s">
        <v>59</v>
      </c>
      <c r="K50" s="102"/>
      <c r="L50" s="1"/>
      <c r="M50" s="1"/>
      <c r="N50" s="97"/>
      <c r="O50" s="97"/>
      <c r="P50" s="40"/>
    </row>
    <row r="51" ht="15.75" customHeight="1">
      <c r="A51" s="40"/>
      <c r="B51" s="121" t="s">
        <v>68</v>
      </c>
      <c r="C51" s="122"/>
      <c r="D51" s="84"/>
      <c r="E51" s="123"/>
      <c r="F51" s="86"/>
      <c r="G51" s="84"/>
      <c r="H51" s="124"/>
      <c r="I51" s="110"/>
      <c r="J51" s="108" t="s">
        <v>63</v>
      </c>
      <c r="K51" s="109"/>
      <c r="L51" s="110"/>
      <c r="M51" s="111" t="s">
        <v>64</v>
      </c>
      <c r="N51" s="109"/>
      <c r="O51" s="102"/>
      <c r="P51" s="40"/>
    </row>
    <row r="52" ht="15.75" customHeight="1">
      <c r="A52" s="40"/>
      <c r="B52" s="125" t="s">
        <v>69</v>
      </c>
      <c r="C52" s="126"/>
      <c r="D52" s="127"/>
      <c r="E52" s="128"/>
      <c r="F52" s="129"/>
      <c r="G52" s="127"/>
      <c r="H52" s="130"/>
      <c r="I52" s="110"/>
      <c r="J52" s="117" t="str">
        <f t="array" ref="J52">GPA({K8:K17,M8:M17,O8:O17;K22:K31,M22:M31,O22:O31;K36:K45,M36:M45,O36:O45},1,2)</f>
        <v>Loading...</v>
      </c>
      <c r="K52" s="118"/>
      <c r="L52" s="110"/>
      <c r="M52" s="119" t="str">
        <f t="array" ref="M52">CREDITSSUM({K8:K17,M8:M17;K22:K31,M22:M31;K36:K45,M36:M45},1,2)</f>
        <v>Loading...</v>
      </c>
      <c r="N52" s="118"/>
      <c r="O52" s="120"/>
      <c r="P52" s="40"/>
    </row>
    <row r="53" ht="15.75" customHeight="1">
      <c r="A53" s="40"/>
      <c r="I53" s="97"/>
      <c r="J53" s="97"/>
      <c r="K53" s="97"/>
      <c r="L53" s="131"/>
      <c r="M53" s="97"/>
      <c r="N53" s="97"/>
      <c r="O53" s="97"/>
      <c r="P53" s="40"/>
    </row>
    <row r="54" ht="15.75" customHeight="1">
      <c r="A54" s="40"/>
      <c r="I54" s="97"/>
      <c r="J54" s="97"/>
      <c r="K54" s="97"/>
      <c r="L54" s="131"/>
      <c r="M54" s="97"/>
      <c r="N54" s="97"/>
      <c r="O54" s="97"/>
      <c r="P54" s="40"/>
    </row>
    <row r="55" ht="15.75" customHeight="1">
      <c r="A55" s="40"/>
      <c r="B55" s="96"/>
      <c r="C55" s="96"/>
      <c r="D55" s="96"/>
      <c r="E55" s="96"/>
      <c r="F55" s="96"/>
      <c r="G55" s="96"/>
      <c r="H55" s="96"/>
      <c r="I55" s="97"/>
      <c r="J55" s="97"/>
      <c r="K55" s="97"/>
      <c r="L55" s="131"/>
      <c r="M55" s="97"/>
      <c r="N55" s="97"/>
      <c r="O55" s="97"/>
      <c r="P55" s="40"/>
    </row>
    <row r="56" ht="15.75" customHeight="1">
      <c r="A56" s="40"/>
      <c r="B56" s="96"/>
      <c r="C56" s="96"/>
      <c r="D56" s="96"/>
      <c r="E56" s="96"/>
      <c r="F56" s="96"/>
      <c r="G56" s="96"/>
      <c r="H56" s="96"/>
      <c r="I56" s="97"/>
      <c r="J56" s="97"/>
      <c r="K56" s="97"/>
      <c r="L56" s="131"/>
      <c r="M56" s="97"/>
      <c r="N56" s="97"/>
      <c r="O56" s="97"/>
      <c r="P56" s="40"/>
    </row>
  </sheetData>
  <mergeCells count="74">
    <mergeCell ref="B28:J28"/>
    <mergeCell ref="B29:J29"/>
    <mergeCell ref="B30:J30"/>
    <mergeCell ref="B31:J31"/>
    <mergeCell ref="J32:K32"/>
    <mergeCell ref="J33:K33"/>
    <mergeCell ref="J34:K34"/>
    <mergeCell ref="B35:J35"/>
    <mergeCell ref="B36:J36"/>
    <mergeCell ref="B37:J37"/>
    <mergeCell ref="B38:J38"/>
    <mergeCell ref="B39:J39"/>
    <mergeCell ref="B40:J40"/>
    <mergeCell ref="B41:J41"/>
    <mergeCell ref="M47:O47"/>
    <mergeCell ref="M48:O48"/>
    <mergeCell ref="M51:O51"/>
    <mergeCell ref="M52:O52"/>
    <mergeCell ref="B49:B50"/>
    <mergeCell ref="C49:E49"/>
    <mergeCell ref="F49:H49"/>
    <mergeCell ref="J50:K50"/>
    <mergeCell ref="J51:K51"/>
    <mergeCell ref="J52:K52"/>
    <mergeCell ref="B42:J42"/>
    <mergeCell ref="B43:J43"/>
    <mergeCell ref="B44:J44"/>
    <mergeCell ref="B45:J45"/>
    <mergeCell ref="J46:K46"/>
    <mergeCell ref="J47:K47"/>
    <mergeCell ref="J48:K48"/>
    <mergeCell ref="C1:H1"/>
    <mergeCell ref="I1:O1"/>
    <mergeCell ref="C2:E2"/>
    <mergeCell ref="F2:H2"/>
    <mergeCell ref="I2:J2"/>
    <mergeCell ref="K2:O2"/>
    <mergeCell ref="C3:E3"/>
    <mergeCell ref="K3:O3"/>
    <mergeCell ref="F3:H3"/>
    <mergeCell ref="I3:J3"/>
    <mergeCell ref="C4:E4"/>
    <mergeCell ref="F4:H4"/>
    <mergeCell ref="I4:J4"/>
    <mergeCell ref="K4:O4"/>
    <mergeCell ref="C5:E6"/>
    <mergeCell ref="K5:O6"/>
    <mergeCell ref="F5:H6"/>
    <mergeCell ref="I5:J6"/>
    <mergeCell ref="B7:J7"/>
    <mergeCell ref="B8:J8"/>
    <mergeCell ref="B9:J9"/>
    <mergeCell ref="B10:J10"/>
    <mergeCell ref="B11:J11"/>
    <mergeCell ref="J19:K19"/>
    <mergeCell ref="M19:O19"/>
    <mergeCell ref="J20:K20"/>
    <mergeCell ref="M20:O20"/>
    <mergeCell ref="B12:J12"/>
    <mergeCell ref="B13:J13"/>
    <mergeCell ref="B14:J14"/>
    <mergeCell ref="B15:J15"/>
    <mergeCell ref="B16:J16"/>
    <mergeCell ref="B17:J17"/>
    <mergeCell ref="J18:K18"/>
    <mergeCell ref="B21:J21"/>
    <mergeCell ref="B22:J22"/>
    <mergeCell ref="B23:J23"/>
    <mergeCell ref="B24:J24"/>
    <mergeCell ref="B25:J25"/>
    <mergeCell ref="B26:J26"/>
    <mergeCell ref="B27:J27"/>
    <mergeCell ref="M33:O33"/>
    <mergeCell ref="M34:O34"/>
  </mergeCells>
  <dataValidations>
    <dataValidation type="custom" allowBlank="1" showDropDown="1" showInputMessage="1" showErrorMessage="1" prompt="Enter a number" sqref="K8:K15 O8:O17 K22:K30 O22:O31 K36:K44 O36:O45">
      <formula1>ISNUMBER(K8)</formula1>
    </dataValidation>
    <dataValidation type="list" allowBlank="1" showInputMessage="1" showErrorMessage="1" prompt="Click and enter a valid scale from the list of items. The valid scales are Letter, 0-100, 0-4, and None" sqref="B3">
      <formula1>"Letter,0-4,0-100,None"</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8.88"/>
    <col customWidth="1" min="3" max="8" width="6.38"/>
    <col customWidth="1" hidden="1" min="9" max="9" width="18.88"/>
    <col customWidth="1" min="10" max="10" width="18.88"/>
    <col customWidth="1" min="11" max="11" width="6.38"/>
    <col customWidth="1" hidden="1" min="12" max="12" width="18.88"/>
    <col customWidth="1" min="13" max="13" width="6.38"/>
    <col customWidth="1" hidden="1" min="14" max="14" width="6.38"/>
    <col customWidth="1" min="15" max="15" width="6.38"/>
  </cols>
  <sheetData>
    <row r="1" ht="31.5" customHeight="1">
      <c r="A1" s="58"/>
      <c r="B1" s="1"/>
      <c r="C1" s="71" t="s">
        <v>5</v>
      </c>
      <c r="I1" s="58" t="s">
        <v>6</v>
      </c>
      <c r="P1" s="72"/>
    </row>
    <row r="2" ht="15.75" customHeight="1">
      <c r="A2" s="73"/>
      <c r="B2" s="74" t="s">
        <v>50</v>
      </c>
      <c r="C2" s="59" t="s">
        <v>8</v>
      </c>
      <c r="F2" s="60" t="str">
        <f>'Getting Started'!$G$10</f>
        <v/>
      </c>
      <c r="I2" s="59" t="s">
        <v>9</v>
      </c>
      <c r="K2" s="60" t="str">
        <f>'Getting Started'!$I$10</f>
        <v/>
      </c>
      <c r="P2" s="40"/>
    </row>
    <row r="3" ht="15.75" customHeight="1">
      <c r="A3" s="73"/>
      <c r="B3" s="75" t="s">
        <v>51</v>
      </c>
      <c r="C3" s="59" t="s">
        <v>11</v>
      </c>
      <c r="F3" s="61" t="str">
        <f>'Getting Started'!$G$11</f>
        <v/>
      </c>
      <c r="I3" s="59" t="s">
        <v>12</v>
      </c>
      <c r="K3" s="60" t="str">
        <f>'Getting Started'!$I$11</f>
        <v/>
      </c>
      <c r="P3" s="40"/>
    </row>
    <row r="4" ht="31.5" customHeight="1">
      <c r="A4" s="73"/>
      <c r="B4" s="1"/>
      <c r="C4" s="59" t="s">
        <v>13</v>
      </c>
      <c r="F4" s="60" t="str">
        <f>'Getting Started'!$G$12</f>
        <v/>
      </c>
      <c r="I4" s="59" t="s">
        <v>14</v>
      </c>
      <c r="K4" s="60" t="str">
        <f>'Getting Started'!$I$12</f>
        <v/>
      </c>
      <c r="P4" s="40"/>
    </row>
    <row r="5" ht="15.75" customHeight="1">
      <c r="A5" s="73"/>
      <c r="B5" s="1"/>
      <c r="C5" s="59" t="s">
        <v>15</v>
      </c>
      <c r="F5" s="62" t="str">
        <f>'Getting Started'!$G$14</f>
        <v/>
      </c>
      <c r="I5" s="59" t="s">
        <v>16</v>
      </c>
      <c r="K5" s="60" t="str">
        <f>'Getting Started'!$I$14</f>
        <v/>
      </c>
      <c r="P5" s="40"/>
    </row>
    <row r="6" ht="15.75" customHeight="1">
      <c r="A6" s="73"/>
      <c r="B6" s="19" t="s">
        <v>78</v>
      </c>
      <c r="P6" s="40"/>
    </row>
    <row r="7" ht="31.5" customHeight="1">
      <c r="A7" s="40"/>
      <c r="B7" s="76" t="s">
        <v>53</v>
      </c>
      <c r="C7" s="8"/>
      <c r="D7" s="8"/>
      <c r="E7" s="8"/>
      <c r="F7" s="8"/>
      <c r="G7" s="8"/>
      <c r="H7" s="8"/>
      <c r="I7" s="8"/>
      <c r="J7" s="77"/>
      <c r="K7" s="78" t="s">
        <v>54</v>
      </c>
      <c r="L7" s="79" t="s">
        <v>55</v>
      </c>
      <c r="M7" s="80" t="s">
        <v>56</v>
      </c>
      <c r="N7" s="81"/>
      <c r="O7" s="82" t="s">
        <v>57</v>
      </c>
      <c r="P7" s="1"/>
    </row>
    <row r="8" ht="15.75" customHeight="1">
      <c r="A8" s="40"/>
      <c r="B8" s="83"/>
      <c r="J8" s="47"/>
      <c r="K8" s="84"/>
      <c r="L8" s="85"/>
      <c r="M8" s="86"/>
      <c r="N8" s="87"/>
      <c r="O8" s="88"/>
      <c r="P8" s="1"/>
    </row>
    <row r="9" ht="15.75" customHeight="1">
      <c r="A9" s="40"/>
      <c r="B9" s="141"/>
      <c r="J9" s="47"/>
      <c r="K9" s="84"/>
      <c r="L9" s="85" t="b">
        <v>0</v>
      </c>
      <c r="M9" s="86"/>
      <c r="N9" s="142"/>
      <c r="O9" s="88"/>
      <c r="P9" s="40"/>
    </row>
    <row r="10" ht="15.75" customHeight="1">
      <c r="A10" s="40"/>
      <c r="B10" s="141"/>
      <c r="J10" s="47"/>
      <c r="K10" s="84"/>
      <c r="L10" s="143" t="b">
        <v>0</v>
      </c>
      <c r="M10" s="86"/>
      <c r="N10" s="142"/>
      <c r="O10" s="144"/>
      <c r="P10" s="40"/>
    </row>
    <row r="11" ht="15.75" customHeight="1">
      <c r="A11" s="40"/>
      <c r="B11" s="141"/>
      <c r="J11" s="47"/>
      <c r="K11" s="145"/>
      <c r="L11" s="85" t="b">
        <v>0</v>
      </c>
      <c r="M11" s="146"/>
      <c r="N11" s="142"/>
      <c r="O11" s="144"/>
      <c r="P11" s="40"/>
    </row>
    <row r="12" ht="15.75" customHeight="1">
      <c r="A12" s="40"/>
      <c r="B12" s="141"/>
      <c r="J12" s="47"/>
      <c r="K12" s="145"/>
      <c r="L12" s="85" t="b">
        <v>0</v>
      </c>
      <c r="M12" s="146"/>
      <c r="N12" s="142"/>
      <c r="O12" s="144"/>
      <c r="P12" s="40"/>
    </row>
    <row r="13" ht="15.75" customHeight="1">
      <c r="A13" s="40"/>
      <c r="B13" s="141"/>
      <c r="J13" s="47"/>
      <c r="K13" s="145"/>
      <c r="L13" s="85" t="b">
        <v>0</v>
      </c>
      <c r="M13" s="146"/>
      <c r="N13" s="142"/>
      <c r="O13" s="144"/>
      <c r="P13" s="40"/>
    </row>
    <row r="14" ht="15.75" customHeight="1">
      <c r="A14" s="40"/>
      <c r="B14" s="141"/>
      <c r="J14" s="47"/>
      <c r="K14" s="145"/>
      <c r="L14" s="143" t="b">
        <v>0</v>
      </c>
      <c r="M14" s="146"/>
      <c r="N14" s="142"/>
      <c r="O14" s="144"/>
      <c r="P14" s="40"/>
    </row>
    <row r="15" ht="15.75" customHeight="1">
      <c r="A15" s="40"/>
      <c r="B15" s="141"/>
      <c r="J15" s="47"/>
      <c r="K15" s="145"/>
      <c r="L15" s="143" t="b">
        <v>0</v>
      </c>
      <c r="M15" s="146"/>
      <c r="N15" s="142"/>
      <c r="O15" s="144"/>
      <c r="P15" s="40"/>
    </row>
    <row r="16" ht="15.75" customHeight="1">
      <c r="A16" s="40"/>
      <c r="B16" s="141"/>
      <c r="J16" s="47"/>
      <c r="K16" s="145"/>
      <c r="L16" s="143" t="b">
        <v>0</v>
      </c>
      <c r="M16" s="146"/>
      <c r="N16" s="142"/>
      <c r="O16" s="144"/>
      <c r="P16" s="40"/>
    </row>
    <row r="17" ht="15.75" customHeight="1">
      <c r="A17" s="40"/>
      <c r="B17" s="89"/>
      <c r="C17" s="16"/>
      <c r="D17" s="16"/>
      <c r="E17" s="16"/>
      <c r="F17" s="16"/>
      <c r="G17" s="16"/>
      <c r="H17" s="16"/>
      <c r="I17" s="16"/>
      <c r="J17" s="90"/>
      <c r="K17" s="91"/>
      <c r="L17" s="92" t="b">
        <v>0</v>
      </c>
      <c r="M17" s="93"/>
      <c r="N17" s="94"/>
      <c r="O17" s="95"/>
      <c r="P17" s="40"/>
    </row>
    <row r="18" ht="15.75" customHeight="1">
      <c r="A18" s="40"/>
      <c r="B18" s="96"/>
      <c r="C18" s="96"/>
      <c r="D18" s="96"/>
      <c r="E18" s="96"/>
      <c r="F18" s="96"/>
      <c r="G18" s="96"/>
      <c r="H18" s="96"/>
      <c r="I18" s="1"/>
      <c r="J18" s="101" t="s">
        <v>79</v>
      </c>
      <c r="K18" s="102"/>
      <c r="L18" s="1"/>
      <c r="M18" s="1"/>
      <c r="N18" s="97"/>
      <c r="O18" s="97"/>
      <c r="P18" s="40"/>
    </row>
    <row r="19" ht="15.75" customHeight="1">
      <c r="A19" s="40"/>
      <c r="B19" s="96"/>
      <c r="C19" s="96"/>
      <c r="D19" s="96"/>
      <c r="E19" s="96"/>
      <c r="F19" s="96"/>
      <c r="G19" s="96"/>
      <c r="H19" s="96"/>
      <c r="I19" s="100"/>
      <c r="J19" s="108" t="s">
        <v>63</v>
      </c>
      <c r="K19" s="109"/>
      <c r="L19" s="110"/>
      <c r="M19" s="111" t="s">
        <v>64</v>
      </c>
      <c r="N19" s="109"/>
      <c r="O19" s="102"/>
      <c r="P19" s="40"/>
    </row>
    <row r="20" ht="15.75" customHeight="1">
      <c r="A20" s="40"/>
      <c r="B20" s="19" t="s">
        <v>80</v>
      </c>
      <c r="C20" s="150"/>
      <c r="D20" s="150"/>
      <c r="E20" s="150"/>
      <c r="F20" s="150"/>
      <c r="G20" s="150"/>
      <c r="H20" s="150"/>
      <c r="I20" s="100"/>
      <c r="J20" s="117" t="str">
        <f t="array" ref="J20">GPA({K8:K17,M8:M17,O8:O17},1,2)</f>
        <v>Loading...</v>
      </c>
      <c r="K20" s="118"/>
      <c r="L20" s="110"/>
      <c r="M20" s="119" t="str">
        <f t="array" ref="M20">CREDITSSUM({K8:K17,M8:M17},1,2)</f>
        <v>Loading...</v>
      </c>
      <c r="N20" s="118"/>
      <c r="O20" s="120"/>
      <c r="P20" s="40"/>
    </row>
    <row r="21" ht="31.5" customHeight="1">
      <c r="A21" s="40"/>
      <c r="B21" s="76" t="s">
        <v>53</v>
      </c>
      <c r="C21" s="8"/>
      <c r="D21" s="8"/>
      <c r="E21" s="8"/>
      <c r="F21" s="8"/>
      <c r="G21" s="8"/>
      <c r="H21" s="8"/>
      <c r="I21" s="8"/>
      <c r="J21" s="77"/>
      <c r="K21" s="78" t="s">
        <v>54</v>
      </c>
      <c r="L21" s="79" t="s">
        <v>55</v>
      </c>
      <c r="M21" s="80" t="s">
        <v>56</v>
      </c>
      <c r="N21" s="81"/>
      <c r="O21" s="82" t="s">
        <v>57</v>
      </c>
      <c r="P21" s="1"/>
    </row>
    <row r="22" ht="15.75" customHeight="1">
      <c r="A22" s="40"/>
      <c r="B22" s="83"/>
      <c r="J22" s="47"/>
      <c r="K22" s="84"/>
      <c r="L22" s="85"/>
      <c r="M22" s="86"/>
      <c r="N22" s="87"/>
      <c r="O22" s="88"/>
      <c r="P22" s="1"/>
    </row>
    <row r="23" ht="15.75" customHeight="1">
      <c r="A23" s="40"/>
      <c r="B23" s="141"/>
      <c r="J23" s="47"/>
      <c r="K23" s="84"/>
      <c r="L23" s="85" t="b">
        <v>0</v>
      </c>
      <c r="M23" s="86"/>
      <c r="N23" s="142"/>
      <c r="O23" s="88"/>
      <c r="P23" s="40"/>
    </row>
    <row r="24" ht="15.75" customHeight="1">
      <c r="A24" s="40"/>
      <c r="B24" s="141"/>
      <c r="J24" s="47"/>
      <c r="K24" s="84"/>
      <c r="L24" s="143" t="b">
        <v>0</v>
      </c>
      <c r="M24" s="86"/>
      <c r="N24" s="142"/>
      <c r="O24" s="144"/>
      <c r="P24" s="40"/>
    </row>
    <row r="25" ht="15.75" customHeight="1">
      <c r="A25" s="40"/>
      <c r="B25" s="141"/>
      <c r="J25" s="47"/>
      <c r="K25" s="145"/>
      <c r="L25" s="143" t="b">
        <v>0</v>
      </c>
      <c r="M25" s="146"/>
      <c r="N25" s="142"/>
      <c r="O25" s="144"/>
      <c r="P25" s="40"/>
    </row>
    <row r="26" ht="15.75" customHeight="1">
      <c r="A26" s="40"/>
      <c r="B26" s="141"/>
      <c r="J26" s="47"/>
      <c r="K26" s="145"/>
      <c r="L26" s="85" t="b">
        <v>0</v>
      </c>
      <c r="M26" s="146"/>
      <c r="N26" s="142"/>
      <c r="O26" s="144"/>
      <c r="P26" s="40"/>
    </row>
    <row r="27" ht="15.75" customHeight="1">
      <c r="A27" s="40"/>
      <c r="B27" s="141"/>
      <c r="J27" s="47"/>
      <c r="K27" s="145"/>
      <c r="L27" s="85" t="b">
        <v>0</v>
      </c>
      <c r="M27" s="146"/>
      <c r="N27" s="142"/>
      <c r="O27" s="144"/>
      <c r="P27" s="40"/>
    </row>
    <row r="28" ht="15.75" customHeight="1">
      <c r="A28" s="40"/>
      <c r="B28" s="141"/>
      <c r="J28" s="47"/>
      <c r="K28" s="146"/>
      <c r="L28" s="85" t="b">
        <v>0</v>
      </c>
      <c r="M28" s="146"/>
      <c r="N28" s="142"/>
      <c r="O28" s="144"/>
      <c r="P28" s="40"/>
    </row>
    <row r="29" ht="15.75" customHeight="1">
      <c r="A29" s="40"/>
      <c r="B29" s="141"/>
      <c r="J29" s="47"/>
      <c r="K29" s="145"/>
      <c r="L29" s="143" t="b">
        <v>0</v>
      </c>
      <c r="M29" s="146"/>
      <c r="N29" s="142"/>
      <c r="O29" s="144"/>
      <c r="P29" s="40"/>
    </row>
    <row r="30" ht="15.75" customHeight="1">
      <c r="A30" s="40"/>
      <c r="B30" s="141"/>
      <c r="J30" s="47"/>
      <c r="K30" s="145"/>
      <c r="L30" s="143" t="b">
        <v>0</v>
      </c>
      <c r="M30" s="146"/>
      <c r="N30" s="142"/>
      <c r="O30" s="144"/>
      <c r="P30" s="40"/>
    </row>
    <row r="31" ht="15.75" customHeight="1">
      <c r="A31" s="40"/>
      <c r="B31" s="89"/>
      <c r="C31" s="16"/>
      <c r="D31" s="16"/>
      <c r="E31" s="16"/>
      <c r="F31" s="16"/>
      <c r="G31" s="16"/>
      <c r="H31" s="16"/>
      <c r="I31" s="16"/>
      <c r="J31" s="90"/>
      <c r="K31" s="91"/>
      <c r="L31" s="92" t="b">
        <v>0</v>
      </c>
      <c r="M31" s="93"/>
      <c r="N31" s="94"/>
      <c r="O31" s="95"/>
      <c r="P31" s="40"/>
    </row>
    <row r="32" ht="15.75" customHeight="1">
      <c r="A32" s="40"/>
      <c r="B32" s="96"/>
      <c r="C32" s="96"/>
      <c r="D32" s="96"/>
      <c r="E32" s="96"/>
      <c r="F32" s="96"/>
      <c r="G32" s="96"/>
      <c r="H32" s="96"/>
      <c r="I32" s="1"/>
      <c r="J32" s="101" t="s">
        <v>81</v>
      </c>
      <c r="K32" s="102"/>
      <c r="L32" s="1"/>
      <c r="M32" s="1"/>
      <c r="N32" s="97"/>
      <c r="O32" s="97"/>
      <c r="P32" s="40"/>
    </row>
    <row r="33" ht="15.75" customHeight="1">
      <c r="A33" s="40"/>
      <c r="B33" s="96"/>
      <c r="C33" s="96"/>
      <c r="D33" s="96"/>
      <c r="E33" s="96"/>
      <c r="F33" s="96"/>
      <c r="G33" s="96"/>
      <c r="H33" s="96"/>
      <c r="I33" s="100"/>
      <c r="J33" s="108" t="s">
        <v>63</v>
      </c>
      <c r="K33" s="109"/>
      <c r="L33" s="110"/>
      <c r="M33" s="111" t="s">
        <v>64</v>
      </c>
      <c r="N33" s="109"/>
      <c r="O33" s="102"/>
      <c r="P33" s="40"/>
    </row>
    <row r="34" ht="15.75" customHeight="1">
      <c r="A34" s="40"/>
      <c r="B34" s="19" t="s">
        <v>82</v>
      </c>
      <c r="C34" s="150"/>
      <c r="D34" s="150"/>
      <c r="E34" s="150"/>
      <c r="F34" s="150"/>
      <c r="G34" s="150"/>
      <c r="H34" s="150"/>
      <c r="I34" s="100"/>
      <c r="J34" s="117" t="str">
        <f t="array" ref="J34">GPA({K22:K31,M22:M31,O22:O31},1,2)</f>
        <v>Loading...</v>
      </c>
      <c r="K34" s="118"/>
      <c r="L34" s="110"/>
      <c r="M34" s="119" t="str">
        <f t="array" ref="M34">CREDITSSUM({K22:K31,M22:M31},1,2)</f>
        <v>Loading...</v>
      </c>
      <c r="N34" s="118"/>
      <c r="O34" s="120"/>
      <c r="P34" s="40"/>
    </row>
    <row r="35" ht="31.5" customHeight="1">
      <c r="A35" s="40"/>
      <c r="B35" s="76" t="s">
        <v>53</v>
      </c>
      <c r="C35" s="8"/>
      <c r="D35" s="8"/>
      <c r="E35" s="8"/>
      <c r="F35" s="8"/>
      <c r="G35" s="8"/>
      <c r="H35" s="8"/>
      <c r="I35" s="8"/>
      <c r="J35" s="77"/>
      <c r="K35" s="78" t="s">
        <v>54</v>
      </c>
      <c r="L35" s="79" t="s">
        <v>55</v>
      </c>
      <c r="M35" s="80" t="s">
        <v>56</v>
      </c>
      <c r="N35" s="81"/>
      <c r="O35" s="82" t="s">
        <v>57</v>
      </c>
      <c r="P35" s="1"/>
    </row>
    <row r="36" ht="15.75" customHeight="1">
      <c r="A36" s="40"/>
      <c r="B36" s="83"/>
      <c r="J36" s="47"/>
      <c r="K36" s="84"/>
      <c r="L36" s="85"/>
      <c r="M36" s="86"/>
      <c r="N36" s="87"/>
      <c r="O36" s="88"/>
      <c r="P36" s="1"/>
    </row>
    <row r="37" ht="15.75" customHeight="1">
      <c r="A37" s="40"/>
      <c r="B37" s="141"/>
      <c r="J37" s="47"/>
      <c r="K37" s="84"/>
      <c r="L37" s="85" t="b">
        <v>0</v>
      </c>
      <c r="M37" s="86"/>
      <c r="N37" s="142"/>
      <c r="O37" s="88"/>
      <c r="P37" s="40"/>
    </row>
    <row r="38" ht="15.75" customHeight="1">
      <c r="A38" s="40"/>
      <c r="B38" s="141"/>
      <c r="J38" s="47"/>
      <c r="K38" s="84"/>
      <c r="L38" s="143" t="b">
        <v>0</v>
      </c>
      <c r="M38" s="86"/>
      <c r="N38" s="142"/>
      <c r="O38" s="144"/>
      <c r="P38" s="40"/>
    </row>
    <row r="39" ht="15.75" customHeight="1">
      <c r="A39" s="40"/>
      <c r="B39" s="141"/>
      <c r="J39" s="47"/>
      <c r="K39" s="145"/>
      <c r="L39" s="143" t="b">
        <v>0</v>
      </c>
      <c r="M39" s="146"/>
      <c r="N39" s="142"/>
      <c r="O39" s="144"/>
      <c r="P39" s="40"/>
    </row>
    <row r="40" ht="15.75" customHeight="1">
      <c r="A40" s="40"/>
      <c r="B40" s="141"/>
      <c r="J40" s="47"/>
      <c r="K40" s="145"/>
      <c r="L40" s="85" t="b">
        <v>0</v>
      </c>
      <c r="M40" s="146"/>
      <c r="N40" s="142"/>
      <c r="O40" s="144"/>
      <c r="P40" s="40"/>
    </row>
    <row r="41" ht="15.75" customHeight="1">
      <c r="A41" s="40"/>
      <c r="B41" s="141"/>
      <c r="J41" s="47"/>
      <c r="K41" s="145"/>
      <c r="L41" s="85" t="b">
        <v>0</v>
      </c>
      <c r="M41" s="146"/>
      <c r="N41" s="142"/>
      <c r="O41" s="144"/>
      <c r="P41" s="40"/>
    </row>
    <row r="42" ht="15.75" customHeight="1">
      <c r="A42" s="40"/>
      <c r="B42" s="141"/>
      <c r="J42" s="47"/>
      <c r="K42" s="146"/>
      <c r="L42" s="85" t="b">
        <v>0</v>
      </c>
      <c r="M42" s="146"/>
      <c r="N42" s="142"/>
      <c r="O42" s="144"/>
      <c r="P42" s="40"/>
    </row>
    <row r="43" ht="15.75" customHeight="1">
      <c r="A43" s="40"/>
      <c r="B43" s="141"/>
      <c r="J43" s="47"/>
      <c r="K43" s="145"/>
      <c r="L43" s="143" t="b">
        <v>0</v>
      </c>
      <c r="M43" s="146"/>
      <c r="N43" s="142"/>
      <c r="O43" s="144"/>
      <c r="P43" s="40"/>
    </row>
    <row r="44" ht="15.75" customHeight="1">
      <c r="A44" s="40"/>
      <c r="B44" s="141"/>
      <c r="J44" s="47"/>
      <c r="K44" s="145"/>
      <c r="L44" s="143" t="b">
        <v>0</v>
      </c>
      <c r="M44" s="146"/>
      <c r="N44" s="142"/>
      <c r="O44" s="144"/>
      <c r="P44" s="40"/>
    </row>
    <row r="45" ht="15.75" customHeight="1">
      <c r="A45" s="40"/>
      <c r="B45" s="89"/>
      <c r="C45" s="16"/>
      <c r="D45" s="16"/>
      <c r="E45" s="16"/>
      <c r="F45" s="16"/>
      <c r="G45" s="16"/>
      <c r="H45" s="16"/>
      <c r="I45" s="16"/>
      <c r="J45" s="90"/>
      <c r="K45" s="91"/>
      <c r="L45" s="92" t="b">
        <v>0</v>
      </c>
      <c r="M45" s="93"/>
      <c r="N45" s="94"/>
      <c r="O45" s="95"/>
      <c r="P45" s="40"/>
    </row>
    <row r="46" ht="15.75" customHeight="1">
      <c r="A46" s="40"/>
      <c r="B46" s="96"/>
      <c r="C46" s="96"/>
      <c r="D46" s="96"/>
      <c r="E46" s="96"/>
      <c r="F46" s="96"/>
      <c r="G46" s="96"/>
      <c r="H46" s="96"/>
      <c r="I46" s="1"/>
      <c r="J46" s="101" t="s">
        <v>83</v>
      </c>
      <c r="K46" s="102"/>
      <c r="L46" s="1"/>
      <c r="M46" s="1"/>
      <c r="N46" s="97"/>
      <c r="O46" s="97"/>
      <c r="P46" s="40"/>
    </row>
    <row r="47" ht="15.75" customHeight="1">
      <c r="A47" s="40"/>
      <c r="B47" s="96"/>
      <c r="C47" s="96"/>
      <c r="D47" s="96"/>
      <c r="E47" s="96"/>
      <c r="F47" s="96"/>
      <c r="G47" s="96"/>
      <c r="H47" s="96"/>
      <c r="I47" s="100"/>
      <c r="J47" s="108" t="s">
        <v>63</v>
      </c>
      <c r="K47" s="109"/>
      <c r="L47" s="110"/>
      <c r="M47" s="111" t="s">
        <v>64</v>
      </c>
      <c r="N47" s="109"/>
      <c r="O47" s="102"/>
      <c r="P47" s="40"/>
    </row>
    <row r="48" ht="15.75" customHeight="1">
      <c r="A48" s="40"/>
      <c r="B48" s="98" t="s">
        <v>58</v>
      </c>
      <c r="C48" s="99"/>
      <c r="D48" s="99"/>
      <c r="E48" s="99"/>
      <c r="F48" s="99"/>
      <c r="G48" s="99"/>
      <c r="H48" s="99"/>
      <c r="I48" s="100"/>
      <c r="J48" s="117" t="str">
        <f t="array" ref="J48">GPA({K36:K45,M36:M45,O36:O45},1,2)</f>
        <v>Loading...</v>
      </c>
      <c r="K48" s="118"/>
      <c r="L48" s="110"/>
      <c r="M48" s="119" t="str">
        <f t="array" ref="M48">CREDITSSUM({K36:K45,M36:M45},1,2)</f>
        <v>Loading...</v>
      </c>
      <c r="N48" s="118"/>
      <c r="O48" s="120"/>
      <c r="P48" s="40"/>
    </row>
    <row r="49" ht="15.75" customHeight="1">
      <c r="A49" s="40"/>
      <c r="B49" s="103" t="s">
        <v>60</v>
      </c>
      <c r="C49" s="104" t="s">
        <v>61</v>
      </c>
      <c r="D49" s="105"/>
      <c r="E49" s="106"/>
      <c r="F49" s="104" t="s">
        <v>62</v>
      </c>
      <c r="G49" s="105"/>
      <c r="H49" s="107"/>
      <c r="I49" s="110"/>
      <c r="J49" s="1"/>
      <c r="K49" s="1"/>
      <c r="L49" s="1"/>
      <c r="M49" s="1"/>
      <c r="N49" s="1"/>
      <c r="O49" s="1"/>
      <c r="P49" s="40"/>
    </row>
    <row r="50" ht="15.75" customHeight="1">
      <c r="A50" s="40"/>
      <c r="B50" s="112"/>
      <c r="C50" s="113" t="s">
        <v>65</v>
      </c>
      <c r="D50" s="114" t="s">
        <v>66</v>
      </c>
      <c r="E50" s="115" t="s">
        <v>67</v>
      </c>
      <c r="F50" s="113" t="s">
        <v>65</v>
      </c>
      <c r="G50" s="114" t="s">
        <v>66</v>
      </c>
      <c r="H50" s="116" t="s">
        <v>67</v>
      </c>
      <c r="I50" s="110"/>
      <c r="J50" s="101" t="s">
        <v>59</v>
      </c>
      <c r="K50" s="102"/>
      <c r="L50" s="1"/>
      <c r="M50" s="1"/>
      <c r="N50" s="97"/>
      <c r="O50" s="97"/>
      <c r="P50" s="40"/>
    </row>
    <row r="51" ht="15.75" customHeight="1">
      <c r="A51" s="40"/>
      <c r="B51" s="121" t="s">
        <v>68</v>
      </c>
      <c r="C51" s="122"/>
      <c r="D51" s="84"/>
      <c r="E51" s="123"/>
      <c r="F51" s="86"/>
      <c r="G51" s="84"/>
      <c r="H51" s="124"/>
      <c r="I51" s="110"/>
      <c r="J51" s="108" t="s">
        <v>63</v>
      </c>
      <c r="K51" s="109"/>
      <c r="L51" s="110"/>
      <c r="M51" s="111" t="s">
        <v>64</v>
      </c>
      <c r="N51" s="109"/>
      <c r="O51" s="102"/>
      <c r="P51" s="40"/>
    </row>
    <row r="52" ht="15.75" customHeight="1">
      <c r="A52" s="40"/>
      <c r="B52" s="125" t="s">
        <v>69</v>
      </c>
      <c r="C52" s="126"/>
      <c r="D52" s="127"/>
      <c r="E52" s="128"/>
      <c r="F52" s="129"/>
      <c r="G52" s="127"/>
      <c r="H52" s="130"/>
      <c r="I52" s="110"/>
      <c r="J52" s="117" t="str">
        <f t="array" ref="J52">GPA({K8:K17,M8:M17,O8:O17;K22:K31,M22:M31,O22:O31;K36:K45,M36:M45,O36:O45},1,2)</f>
        <v>Loading...</v>
      </c>
      <c r="K52" s="118"/>
      <c r="L52" s="110"/>
      <c r="M52" s="119" t="str">
        <f t="array" ref="M52">CREDITSSUM({K8:K17,M8:M17;K22:K31,M22:M31;K36:K45,M36:M45},1,2)</f>
        <v>Loading...</v>
      </c>
      <c r="N52" s="118"/>
      <c r="O52" s="120"/>
      <c r="P52" s="40"/>
    </row>
    <row r="53" ht="15.75" customHeight="1">
      <c r="A53" s="40"/>
      <c r="I53" s="97"/>
      <c r="J53" s="97"/>
      <c r="K53" s="97"/>
      <c r="L53" s="131"/>
      <c r="M53" s="97"/>
      <c r="N53" s="97"/>
      <c r="O53" s="97"/>
      <c r="P53" s="40"/>
    </row>
    <row r="54" ht="15.75" customHeight="1">
      <c r="A54" s="40"/>
      <c r="I54" s="97"/>
      <c r="J54" s="97"/>
      <c r="K54" s="97"/>
      <c r="L54" s="131"/>
      <c r="M54" s="97"/>
      <c r="N54" s="97"/>
      <c r="O54" s="97"/>
      <c r="P54" s="40"/>
    </row>
    <row r="55" ht="15.75" customHeight="1">
      <c r="A55" s="40"/>
      <c r="B55" s="96"/>
      <c r="C55" s="96"/>
      <c r="D55" s="96"/>
      <c r="E55" s="96"/>
      <c r="F55" s="96"/>
      <c r="G55" s="96"/>
      <c r="H55" s="96"/>
      <c r="I55" s="97"/>
      <c r="J55" s="97"/>
      <c r="K55" s="97"/>
      <c r="L55" s="131"/>
      <c r="M55" s="97"/>
      <c r="N55" s="97"/>
      <c r="O55" s="97"/>
      <c r="P55" s="40"/>
    </row>
    <row r="56" ht="15.75" customHeight="1">
      <c r="A56" s="40"/>
      <c r="B56" s="96"/>
      <c r="C56" s="96"/>
      <c r="D56" s="96"/>
      <c r="E56" s="96"/>
      <c r="F56" s="96"/>
      <c r="G56" s="96"/>
      <c r="H56" s="96"/>
      <c r="I56" s="97"/>
      <c r="J56" s="97"/>
      <c r="K56" s="97"/>
      <c r="L56" s="131"/>
      <c r="M56" s="97"/>
      <c r="N56" s="97"/>
      <c r="O56" s="97"/>
      <c r="P56" s="40"/>
    </row>
  </sheetData>
  <mergeCells count="74">
    <mergeCell ref="B28:J28"/>
    <mergeCell ref="B29:J29"/>
    <mergeCell ref="B30:J30"/>
    <mergeCell ref="B31:J31"/>
    <mergeCell ref="J32:K32"/>
    <mergeCell ref="J33:K33"/>
    <mergeCell ref="J34:K34"/>
    <mergeCell ref="B35:J35"/>
    <mergeCell ref="B36:J36"/>
    <mergeCell ref="B37:J37"/>
    <mergeCell ref="B38:J38"/>
    <mergeCell ref="B39:J39"/>
    <mergeCell ref="B40:J40"/>
    <mergeCell ref="B41:J41"/>
    <mergeCell ref="M47:O47"/>
    <mergeCell ref="M48:O48"/>
    <mergeCell ref="M51:O51"/>
    <mergeCell ref="M52:O52"/>
    <mergeCell ref="B49:B50"/>
    <mergeCell ref="C49:E49"/>
    <mergeCell ref="F49:H49"/>
    <mergeCell ref="J50:K50"/>
    <mergeCell ref="J51:K51"/>
    <mergeCell ref="J52:K52"/>
    <mergeCell ref="B42:J42"/>
    <mergeCell ref="B43:J43"/>
    <mergeCell ref="B44:J44"/>
    <mergeCell ref="B45:J45"/>
    <mergeCell ref="J46:K46"/>
    <mergeCell ref="J47:K47"/>
    <mergeCell ref="J48:K48"/>
    <mergeCell ref="C1:H1"/>
    <mergeCell ref="I1:O1"/>
    <mergeCell ref="C2:E2"/>
    <mergeCell ref="F2:H2"/>
    <mergeCell ref="I2:J2"/>
    <mergeCell ref="K2:O2"/>
    <mergeCell ref="C3:E3"/>
    <mergeCell ref="K3:O3"/>
    <mergeCell ref="F3:H3"/>
    <mergeCell ref="I3:J3"/>
    <mergeCell ref="C4:E4"/>
    <mergeCell ref="F4:H4"/>
    <mergeCell ref="I4:J4"/>
    <mergeCell ref="K4:O4"/>
    <mergeCell ref="C5:E6"/>
    <mergeCell ref="K5:O6"/>
    <mergeCell ref="F5:H6"/>
    <mergeCell ref="I5:J6"/>
    <mergeCell ref="B7:J7"/>
    <mergeCell ref="B8:J8"/>
    <mergeCell ref="B9:J9"/>
    <mergeCell ref="B10:J10"/>
    <mergeCell ref="B11:J11"/>
    <mergeCell ref="J19:K19"/>
    <mergeCell ref="M19:O19"/>
    <mergeCell ref="J20:K20"/>
    <mergeCell ref="M20:O20"/>
    <mergeCell ref="B12:J12"/>
    <mergeCell ref="B13:J13"/>
    <mergeCell ref="B14:J14"/>
    <mergeCell ref="B15:J15"/>
    <mergeCell ref="B16:J16"/>
    <mergeCell ref="B17:J17"/>
    <mergeCell ref="J18:K18"/>
    <mergeCell ref="B21:J21"/>
    <mergeCell ref="B22:J22"/>
    <mergeCell ref="B23:J23"/>
    <mergeCell ref="B24:J24"/>
    <mergeCell ref="B25:J25"/>
    <mergeCell ref="B26:J26"/>
    <mergeCell ref="B27:J27"/>
    <mergeCell ref="M33:O33"/>
    <mergeCell ref="M34:O34"/>
  </mergeCells>
  <dataValidations>
    <dataValidation type="custom" allowBlank="1" showDropDown="1" showInputMessage="1" showErrorMessage="1" prompt="Enter a number" sqref="K8:K15 O8:O17 K22:K30 O22:O31 K36:K44 O36:O45">
      <formula1>ISNUMBER(K8)</formula1>
    </dataValidation>
    <dataValidation type="list" allowBlank="1" showInputMessage="1" showErrorMessage="1" prompt="Click and enter a valid scale from the list of items. The valid scales are Letter, 0-100, 0-4, and None" sqref="B3">
      <formula1>"Letter,0-4,0-100,None"</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8.88"/>
    <col customWidth="1" min="3" max="8" width="6.38"/>
    <col customWidth="1" hidden="1" min="9" max="9" width="18.88"/>
    <col customWidth="1" min="10" max="10" width="18.88"/>
    <col customWidth="1" min="11" max="11" width="6.38"/>
    <col customWidth="1" hidden="1" min="12" max="12" width="18.88"/>
    <col customWidth="1" min="13" max="13" width="6.38"/>
    <col customWidth="1" hidden="1" min="14" max="14" width="6.38"/>
    <col customWidth="1" min="15" max="15" width="6.38"/>
  </cols>
  <sheetData>
    <row r="1" ht="31.5" customHeight="1">
      <c r="A1" s="58"/>
      <c r="B1" s="1"/>
      <c r="C1" s="71" t="s">
        <v>5</v>
      </c>
      <c r="I1" s="58" t="s">
        <v>6</v>
      </c>
      <c r="P1" s="72"/>
    </row>
    <row r="2" ht="15.75" customHeight="1">
      <c r="A2" s="73"/>
      <c r="B2" s="74" t="s">
        <v>50</v>
      </c>
      <c r="C2" s="59" t="s">
        <v>8</v>
      </c>
      <c r="F2" s="60" t="str">
        <f>'Getting Started'!$G$10</f>
        <v/>
      </c>
      <c r="I2" s="59" t="s">
        <v>9</v>
      </c>
      <c r="K2" s="60" t="str">
        <f>'Getting Started'!$I$10</f>
        <v/>
      </c>
      <c r="P2" s="40"/>
    </row>
    <row r="3" ht="15.75" customHeight="1">
      <c r="A3" s="73"/>
      <c r="B3" s="75" t="s">
        <v>51</v>
      </c>
      <c r="C3" s="59" t="s">
        <v>11</v>
      </c>
      <c r="F3" s="61" t="str">
        <f>'Getting Started'!$G$11</f>
        <v/>
      </c>
      <c r="I3" s="59" t="s">
        <v>12</v>
      </c>
      <c r="K3" s="60" t="str">
        <f>'Getting Started'!$I$11</f>
        <v/>
      </c>
      <c r="P3" s="40"/>
    </row>
    <row r="4" ht="31.5" customHeight="1">
      <c r="A4" s="73"/>
      <c r="B4" s="1"/>
      <c r="C4" s="59" t="s">
        <v>13</v>
      </c>
      <c r="F4" s="60" t="str">
        <f>'Getting Started'!$G$12</f>
        <v/>
      </c>
      <c r="I4" s="59" t="s">
        <v>14</v>
      </c>
      <c r="K4" s="60" t="str">
        <f>'Getting Started'!$I$12</f>
        <v/>
      </c>
      <c r="P4" s="40"/>
    </row>
    <row r="5" ht="15.75" customHeight="1">
      <c r="A5" s="73"/>
      <c r="B5" s="1"/>
      <c r="C5" s="59" t="s">
        <v>15</v>
      </c>
      <c r="F5" s="62" t="str">
        <f>'Getting Started'!$G$14</f>
        <v/>
      </c>
      <c r="I5" s="59" t="s">
        <v>16</v>
      </c>
      <c r="K5" s="60" t="str">
        <f>'Getting Started'!$I$14</f>
        <v/>
      </c>
      <c r="P5" s="40"/>
    </row>
    <row r="6" ht="15.75" customHeight="1">
      <c r="A6" s="73"/>
      <c r="B6" s="19" t="s">
        <v>78</v>
      </c>
      <c r="P6" s="40"/>
    </row>
    <row r="7" ht="31.5" customHeight="1">
      <c r="A7" s="40"/>
      <c r="B7" s="76" t="s">
        <v>53</v>
      </c>
      <c r="C7" s="8"/>
      <c r="D7" s="8"/>
      <c r="E7" s="8"/>
      <c r="F7" s="8"/>
      <c r="G7" s="8"/>
      <c r="H7" s="8"/>
      <c r="I7" s="8"/>
      <c r="J7" s="77"/>
      <c r="K7" s="78" t="s">
        <v>54</v>
      </c>
      <c r="L7" s="79" t="s">
        <v>55</v>
      </c>
      <c r="M7" s="80" t="s">
        <v>56</v>
      </c>
      <c r="N7" s="81"/>
      <c r="O7" s="82" t="s">
        <v>57</v>
      </c>
      <c r="P7" s="1"/>
    </row>
    <row r="8" ht="15.75" customHeight="1">
      <c r="A8" s="40"/>
      <c r="B8" s="83"/>
      <c r="J8" s="47"/>
      <c r="K8" s="84"/>
      <c r="L8" s="85"/>
      <c r="M8" s="86"/>
      <c r="N8" s="87"/>
      <c r="O8" s="88"/>
      <c r="P8" s="1"/>
    </row>
    <row r="9" ht="15.75" customHeight="1">
      <c r="A9" s="40"/>
      <c r="B9" s="141"/>
      <c r="J9" s="47"/>
      <c r="K9" s="84"/>
      <c r="L9" s="85" t="b">
        <v>0</v>
      </c>
      <c r="M9" s="86"/>
      <c r="N9" s="142"/>
      <c r="O9" s="88"/>
      <c r="P9" s="40"/>
    </row>
    <row r="10" ht="15.75" customHeight="1">
      <c r="A10" s="40"/>
      <c r="B10" s="141"/>
      <c r="J10" s="47"/>
      <c r="K10" s="84"/>
      <c r="L10" s="143" t="b">
        <v>0</v>
      </c>
      <c r="M10" s="86"/>
      <c r="N10" s="142"/>
      <c r="O10" s="144"/>
      <c r="P10" s="40"/>
    </row>
    <row r="11" ht="15.75" customHeight="1">
      <c r="A11" s="40"/>
      <c r="B11" s="141"/>
      <c r="J11" s="47"/>
      <c r="K11" s="145"/>
      <c r="L11" s="85" t="b">
        <v>0</v>
      </c>
      <c r="M11" s="146"/>
      <c r="N11" s="142"/>
      <c r="O11" s="144"/>
      <c r="P11" s="40"/>
    </row>
    <row r="12" ht="15.75" customHeight="1">
      <c r="A12" s="40"/>
      <c r="B12" s="141"/>
      <c r="J12" s="47"/>
      <c r="K12" s="145"/>
      <c r="L12" s="85" t="b">
        <v>0</v>
      </c>
      <c r="M12" s="146"/>
      <c r="N12" s="142"/>
      <c r="O12" s="144"/>
      <c r="P12" s="40"/>
    </row>
    <row r="13" ht="15.75" customHeight="1">
      <c r="A13" s="40"/>
      <c r="B13" s="141"/>
      <c r="J13" s="47"/>
      <c r="K13" s="145"/>
      <c r="L13" s="85" t="b">
        <v>0</v>
      </c>
      <c r="M13" s="146"/>
      <c r="N13" s="142"/>
      <c r="O13" s="144"/>
      <c r="P13" s="40"/>
    </row>
    <row r="14" ht="15.75" customHeight="1">
      <c r="A14" s="40"/>
      <c r="B14" s="141"/>
      <c r="J14" s="47"/>
      <c r="K14" s="145"/>
      <c r="L14" s="143" t="b">
        <v>0</v>
      </c>
      <c r="M14" s="146"/>
      <c r="N14" s="142"/>
      <c r="O14" s="144"/>
      <c r="P14" s="40"/>
    </row>
    <row r="15" ht="15.75" customHeight="1">
      <c r="A15" s="40"/>
      <c r="B15" s="141"/>
      <c r="J15" s="47"/>
      <c r="K15" s="145"/>
      <c r="L15" s="143" t="b">
        <v>0</v>
      </c>
      <c r="M15" s="146"/>
      <c r="N15" s="142"/>
      <c r="O15" s="144"/>
      <c r="P15" s="40"/>
    </row>
    <row r="16" ht="15.75" customHeight="1">
      <c r="A16" s="40"/>
      <c r="B16" s="141"/>
      <c r="J16" s="47"/>
      <c r="K16" s="145"/>
      <c r="L16" s="143" t="b">
        <v>0</v>
      </c>
      <c r="M16" s="146"/>
      <c r="N16" s="142"/>
      <c r="O16" s="144"/>
      <c r="P16" s="40"/>
    </row>
    <row r="17" ht="15.75" customHeight="1">
      <c r="A17" s="40"/>
      <c r="B17" s="89"/>
      <c r="C17" s="16"/>
      <c r="D17" s="16"/>
      <c r="E17" s="16"/>
      <c r="F17" s="16"/>
      <c r="G17" s="16"/>
      <c r="H17" s="16"/>
      <c r="I17" s="16"/>
      <c r="J17" s="90"/>
      <c r="K17" s="91"/>
      <c r="L17" s="92" t="b">
        <v>0</v>
      </c>
      <c r="M17" s="93"/>
      <c r="N17" s="94"/>
      <c r="O17" s="95"/>
      <c r="P17" s="40"/>
    </row>
    <row r="18" ht="15.75" customHeight="1">
      <c r="A18" s="40"/>
      <c r="B18" s="96"/>
      <c r="C18" s="96"/>
      <c r="D18" s="96"/>
      <c r="E18" s="96"/>
      <c r="F18" s="96"/>
      <c r="G18" s="96"/>
      <c r="H18" s="96"/>
      <c r="I18" s="1"/>
      <c r="J18" s="101" t="s">
        <v>79</v>
      </c>
      <c r="K18" s="102"/>
      <c r="L18" s="1"/>
      <c r="M18" s="1"/>
      <c r="N18" s="97"/>
      <c r="O18" s="97"/>
      <c r="P18" s="40"/>
    </row>
    <row r="19" ht="15.75" customHeight="1">
      <c r="A19" s="40"/>
      <c r="B19" s="96"/>
      <c r="C19" s="96"/>
      <c r="D19" s="96"/>
      <c r="E19" s="96"/>
      <c r="F19" s="96"/>
      <c r="G19" s="96"/>
      <c r="H19" s="96"/>
      <c r="I19" s="100"/>
      <c r="J19" s="108" t="s">
        <v>63</v>
      </c>
      <c r="K19" s="109"/>
      <c r="L19" s="110"/>
      <c r="M19" s="111" t="s">
        <v>64</v>
      </c>
      <c r="N19" s="109"/>
      <c r="O19" s="102"/>
      <c r="P19" s="40"/>
    </row>
    <row r="20" ht="15.75" customHeight="1">
      <c r="A20" s="40"/>
      <c r="B20" s="19" t="s">
        <v>80</v>
      </c>
      <c r="C20" s="150"/>
      <c r="D20" s="150"/>
      <c r="E20" s="150"/>
      <c r="F20" s="150"/>
      <c r="G20" s="150"/>
      <c r="H20" s="150"/>
      <c r="I20" s="100"/>
      <c r="J20" s="117" t="str">
        <f t="array" ref="J20">GPA({K8:K17,M8:M17,O8:O17},1,2)</f>
        <v>Loading...</v>
      </c>
      <c r="K20" s="118"/>
      <c r="L20" s="110"/>
      <c r="M20" s="119" t="str">
        <f t="array" ref="M20">CREDITSSUM({K8:K17,M8:M17},1,2)</f>
        <v>Loading...</v>
      </c>
      <c r="N20" s="118"/>
      <c r="O20" s="120"/>
      <c r="P20" s="40"/>
    </row>
    <row r="21" ht="31.5" customHeight="1">
      <c r="A21" s="40"/>
      <c r="B21" s="76" t="s">
        <v>53</v>
      </c>
      <c r="C21" s="8"/>
      <c r="D21" s="8"/>
      <c r="E21" s="8"/>
      <c r="F21" s="8"/>
      <c r="G21" s="8"/>
      <c r="H21" s="8"/>
      <c r="I21" s="8"/>
      <c r="J21" s="77"/>
      <c r="K21" s="78" t="s">
        <v>54</v>
      </c>
      <c r="L21" s="79" t="s">
        <v>55</v>
      </c>
      <c r="M21" s="80" t="s">
        <v>56</v>
      </c>
      <c r="N21" s="81"/>
      <c r="O21" s="82" t="s">
        <v>57</v>
      </c>
      <c r="P21" s="1"/>
    </row>
    <row r="22" ht="15.75" customHeight="1">
      <c r="A22" s="40"/>
      <c r="B22" s="83"/>
      <c r="J22" s="47"/>
      <c r="K22" s="84"/>
      <c r="L22" s="85"/>
      <c r="M22" s="86"/>
      <c r="N22" s="87"/>
      <c r="O22" s="88"/>
      <c r="P22" s="1"/>
    </row>
    <row r="23" ht="15.75" customHeight="1">
      <c r="A23" s="40"/>
      <c r="B23" s="141"/>
      <c r="J23" s="47"/>
      <c r="K23" s="84"/>
      <c r="L23" s="85" t="b">
        <v>0</v>
      </c>
      <c r="M23" s="86"/>
      <c r="N23" s="142"/>
      <c r="O23" s="88"/>
      <c r="P23" s="40"/>
    </row>
    <row r="24" ht="15.75" customHeight="1">
      <c r="A24" s="40"/>
      <c r="B24" s="141"/>
      <c r="J24" s="47"/>
      <c r="K24" s="84"/>
      <c r="L24" s="143" t="b">
        <v>0</v>
      </c>
      <c r="M24" s="86"/>
      <c r="N24" s="142"/>
      <c r="O24" s="144"/>
      <c r="P24" s="40"/>
    </row>
    <row r="25" ht="15.75" customHeight="1">
      <c r="A25" s="40"/>
      <c r="B25" s="141"/>
      <c r="J25" s="47"/>
      <c r="K25" s="145"/>
      <c r="L25" s="143" t="b">
        <v>0</v>
      </c>
      <c r="M25" s="146"/>
      <c r="N25" s="142"/>
      <c r="O25" s="144"/>
      <c r="P25" s="40"/>
    </row>
    <row r="26" ht="15.75" customHeight="1">
      <c r="A26" s="40"/>
      <c r="B26" s="141"/>
      <c r="J26" s="47"/>
      <c r="K26" s="145"/>
      <c r="L26" s="85" t="b">
        <v>0</v>
      </c>
      <c r="M26" s="146"/>
      <c r="N26" s="142"/>
      <c r="O26" s="144"/>
      <c r="P26" s="40"/>
    </row>
    <row r="27" ht="15.75" customHeight="1">
      <c r="A27" s="40"/>
      <c r="B27" s="141"/>
      <c r="J27" s="47"/>
      <c r="K27" s="145"/>
      <c r="L27" s="85" t="b">
        <v>0</v>
      </c>
      <c r="M27" s="146"/>
      <c r="N27" s="142"/>
      <c r="O27" s="144"/>
      <c r="P27" s="40"/>
    </row>
    <row r="28" ht="15.75" customHeight="1">
      <c r="A28" s="40"/>
      <c r="B28" s="141"/>
      <c r="J28" s="47"/>
      <c r="K28" s="146"/>
      <c r="L28" s="85" t="b">
        <v>0</v>
      </c>
      <c r="M28" s="146"/>
      <c r="N28" s="142"/>
      <c r="O28" s="144"/>
      <c r="P28" s="40"/>
    </row>
    <row r="29" ht="15.75" customHeight="1">
      <c r="A29" s="40"/>
      <c r="B29" s="141"/>
      <c r="J29" s="47"/>
      <c r="K29" s="145"/>
      <c r="L29" s="143" t="b">
        <v>0</v>
      </c>
      <c r="M29" s="146"/>
      <c r="N29" s="142"/>
      <c r="O29" s="144"/>
      <c r="P29" s="40"/>
    </row>
    <row r="30" ht="15.75" customHeight="1">
      <c r="A30" s="40"/>
      <c r="B30" s="141"/>
      <c r="J30" s="47"/>
      <c r="K30" s="145"/>
      <c r="L30" s="143" t="b">
        <v>0</v>
      </c>
      <c r="M30" s="146"/>
      <c r="N30" s="142"/>
      <c r="O30" s="144"/>
      <c r="P30" s="40"/>
    </row>
    <row r="31" ht="15.75" customHeight="1">
      <c r="A31" s="40"/>
      <c r="B31" s="89"/>
      <c r="C31" s="16"/>
      <c r="D31" s="16"/>
      <c r="E31" s="16"/>
      <c r="F31" s="16"/>
      <c r="G31" s="16"/>
      <c r="H31" s="16"/>
      <c r="I31" s="16"/>
      <c r="J31" s="90"/>
      <c r="K31" s="91"/>
      <c r="L31" s="92" t="b">
        <v>0</v>
      </c>
      <c r="M31" s="93"/>
      <c r="N31" s="94"/>
      <c r="O31" s="95"/>
      <c r="P31" s="40"/>
    </row>
    <row r="32" ht="15.75" customHeight="1">
      <c r="A32" s="40"/>
      <c r="B32" s="96"/>
      <c r="C32" s="96"/>
      <c r="D32" s="96"/>
      <c r="E32" s="96"/>
      <c r="F32" s="96"/>
      <c r="G32" s="96"/>
      <c r="H32" s="96"/>
      <c r="I32" s="1"/>
      <c r="J32" s="101" t="s">
        <v>81</v>
      </c>
      <c r="K32" s="102"/>
      <c r="L32" s="1"/>
      <c r="M32" s="1"/>
      <c r="N32" s="97"/>
      <c r="O32" s="97"/>
      <c r="P32" s="40"/>
    </row>
    <row r="33" ht="15.75" customHeight="1">
      <c r="A33" s="40"/>
      <c r="B33" s="96"/>
      <c r="C33" s="96"/>
      <c r="D33" s="96"/>
      <c r="E33" s="96"/>
      <c r="F33" s="96"/>
      <c r="G33" s="96"/>
      <c r="H33" s="96"/>
      <c r="I33" s="100"/>
      <c r="J33" s="108" t="s">
        <v>63</v>
      </c>
      <c r="K33" s="109"/>
      <c r="L33" s="110"/>
      <c r="M33" s="111" t="s">
        <v>64</v>
      </c>
      <c r="N33" s="109"/>
      <c r="O33" s="102"/>
      <c r="P33" s="40"/>
    </row>
    <row r="34" ht="15.75" customHeight="1">
      <c r="A34" s="40"/>
      <c r="B34" s="19" t="s">
        <v>82</v>
      </c>
      <c r="C34" s="150"/>
      <c r="D34" s="150"/>
      <c r="E34" s="150"/>
      <c r="F34" s="150"/>
      <c r="G34" s="150"/>
      <c r="H34" s="150"/>
      <c r="I34" s="100"/>
      <c r="J34" s="117" t="str">
        <f t="array" ref="J34">GPA({K22:K31,M22:M31,O22:O31},1,2)</f>
        <v>Loading...</v>
      </c>
      <c r="K34" s="118"/>
      <c r="L34" s="110"/>
      <c r="M34" s="119" t="str">
        <f t="array" ref="M34">CREDITSSUM({K22:K31,M22:M31},1,2)</f>
        <v>Loading...</v>
      </c>
      <c r="N34" s="118"/>
      <c r="O34" s="120"/>
      <c r="P34" s="40"/>
    </row>
    <row r="35" ht="31.5" customHeight="1">
      <c r="A35" s="40"/>
      <c r="B35" s="76" t="s">
        <v>53</v>
      </c>
      <c r="C35" s="8"/>
      <c r="D35" s="8"/>
      <c r="E35" s="8"/>
      <c r="F35" s="8"/>
      <c r="G35" s="8"/>
      <c r="H35" s="8"/>
      <c r="I35" s="8"/>
      <c r="J35" s="77"/>
      <c r="K35" s="78" t="s">
        <v>54</v>
      </c>
      <c r="L35" s="79" t="s">
        <v>55</v>
      </c>
      <c r="M35" s="80" t="s">
        <v>56</v>
      </c>
      <c r="N35" s="81"/>
      <c r="O35" s="82" t="s">
        <v>57</v>
      </c>
      <c r="P35" s="1"/>
    </row>
    <row r="36" ht="15.75" customHeight="1">
      <c r="A36" s="40"/>
      <c r="B36" s="83"/>
      <c r="J36" s="47"/>
      <c r="K36" s="84"/>
      <c r="L36" s="85"/>
      <c r="M36" s="86"/>
      <c r="N36" s="87"/>
      <c r="O36" s="88"/>
      <c r="P36" s="1"/>
    </row>
    <row r="37" ht="15.75" customHeight="1">
      <c r="A37" s="40"/>
      <c r="B37" s="141"/>
      <c r="J37" s="47"/>
      <c r="K37" s="84"/>
      <c r="L37" s="85" t="b">
        <v>0</v>
      </c>
      <c r="M37" s="86"/>
      <c r="N37" s="142"/>
      <c r="O37" s="88"/>
      <c r="P37" s="40"/>
    </row>
    <row r="38" ht="15.75" customHeight="1">
      <c r="A38" s="40"/>
      <c r="B38" s="141"/>
      <c r="J38" s="47"/>
      <c r="K38" s="84"/>
      <c r="L38" s="143" t="b">
        <v>0</v>
      </c>
      <c r="M38" s="86"/>
      <c r="N38" s="142"/>
      <c r="O38" s="144"/>
      <c r="P38" s="40"/>
    </row>
    <row r="39" ht="15.75" customHeight="1">
      <c r="A39" s="40"/>
      <c r="B39" s="141"/>
      <c r="J39" s="47"/>
      <c r="K39" s="145"/>
      <c r="L39" s="143" t="b">
        <v>0</v>
      </c>
      <c r="M39" s="146"/>
      <c r="N39" s="142"/>
      <c r="O39" s="144"/>
      <c r="P39" s="40"/>
    </row>
    <row r="40" ht="15.75" customHeight="1">
      <c r="A40" s="40"/>
      <c r="B40" s="141"/>
      <c r="J40" s="47"/>
      <c r="K40" s="145"/>
      <c r="L40" s="85" t="b">
        <v>0</v>
      </c>
      <c r="M40" s="146"/>
      <c r="N40" s="142"/>
      <c r="O40" s="144"/>
      <c r="P40" s="40"/>
    </row>
    <row r="41" ht="15.75" customHeight="1">
      <c r="A41" s="40"/>
      <c r="B41" s="141"/>
      <c r="J41" s="47"/>
      <c r="K41" s="145"/>
      <c r="L41" s="85" t="b">
        <v>0</v>
      </c>
      <c r="M41" s="146"/>
      <c r="N41" s="142"/>
      <c r="O41" s="144"/>
      <c r="P41" s="40"/>
    </row>
    <row r="42" ht="15.75" customHeight="1">
      <c r="A42" s="40"/>
      <c r="B42" s="141"/>
      <c r="J42" s="47"/>
      <c r="K42" s="146"/>
      <c r="L42" s="85" t="b">
        <v>0</v>
      </c>
      <c r="M42" s="146"/>
      <c r="N42" s="142"/>
      <c r="O42" s="144"/>
      <c r="P42" s="40"/>
    </row>
    <row r="43" ht="15.75" customHeight="1">
      <c r="A43" s="40"/>
      <c r="B43" s="141"/>
      <c r="J43" s="47"/>
      <c r="K43" s="145"/>
      <c r="L43" s="143" t="b">
        <v>0</v>
      </c>
      <c r="M43" s="146"/>
      <c r="N43" s="142"/>
      <c r="O43" s="144"/>
      <c r="P43" s="40"/>
    </row>
    <row r="44" ht="15.75" customHeight="1">
      <c r="A44" s="40"/>
      <c r="B44" s="141"/>
      <c r="J44" s="47"/>
      <c r="K44" s="145"/>
      <c r="L44" s="143" t="b">
        <v>0</v>
      </c>
      <c r="M44" s="146"/>
      <c r="N44" s="142"/>
      <c r="O44" s="144"/>
      <c r="P44" s="40"/>
    </row>
    <row r="45" ht="15.75" customHeight="1">
      <c r="A45" s="40"/>
      <c r="B45" s="89"/>
      <c r="C45" s="16"/>
      <c r="D45" s="16"/>
      <c r="E45" s="16"/>
      <c r="F45" s="16"/>
      <c r="G45" s="16"/>
      <c r="H45" s="16"/>
      <c r="I45" s="16"/>
      <c r="J45" s="90"/>
      <c r="K45" s="91"/>
      <c r="L45" s="92" t="b">
        <v>0</v>
      </c>
      <c r="M45" s="93"/>
      <c r="N45" s="94"/>
      <c r="O45" s="95"/>
      <c r="P45" s="40"/>
    </row>
    <row r="46" ht="15.75" customHeight="1">
      <c r="A46" s="40"/>
      <c r="B46" s="96"/>
      <c r="C46" s="96"/>
      <c r="D46" s="96"/>
      <c r="E46" s="96"/>
      <c r="F46" s="96"/>
      <c r="G46" s="96"/>
      <c r="H46" s="96"/>
      <c r="I46" s="1"/>
      <c r="J46" s="101" t="s">
        <v>83</v>
      </c>
      <c r="K46" s="102"/>
      <c r="L46" s="1"/>
      <c r="M46" s="1"/>
      <c r="N46" s="97"/>
      <c r="O46" s="97"/>
      <c r="P46" s="40"/>
    </row>
    <row r="47" ht="15.75" customHeight="1">
      <c r="A47" s="40"/>
      <c r="B47" s="96"/>
      <c r="C47" s="96"/>
      <c r="D47" s="96"/>
      <c r="E47" s="96"/>
      <c r="F47" s="96"/>
      <c r="G47" s="96"/>
      <c r="H47" s="96"/>
      <c r="I47" s="100"/>
      <c r="J47" s="108" t="s">
        <v>63</v>
      </c>
      <c r="K47" s="109"/>
      <c r="L47" s="110"/>
      <c r="M47" s="111" t="s">
        <v>64</v>
      </c>
      <c r="N47" s="109"/>
      <c r="O47" s="102"/>
      <c r="P47" s="40"/>
    </row>
    <row r="48" ht="15.75" customHeight="1">
      <c r="A48" s="40"/>
      <c r="B48" s="98" t="s">
        <v>58</v>
      </c>
      <c r="C48" s="99"/>
      <c r="D48" s="99"/>
      <c r="E48" s="99"/>
      <c r="F48" s="99"/>
      <c r="G48" s="99"/>
      <c r="H48" s="99"/>
      <c r="I48" s="100"/>
      <c r="J48" s="117" t="str">
        <f t="array" ref="J48">GPA({K36:K45,M36:M45,O36:O45},1,2)</f>
        <v>Loading...</v>
      </c>
      <c r="K48" s="118"/>
      <c r="L48" s="110"/>
      <c r="M48" s="119" t="str">
        <f t="array" ref="M48">CREDITSSUM({K36:K45,M36:M45},1,2)</f>
        <v>Loading...</v>
      </c>
      <c r="N48" s="118"/>
      <c r="O48" s="120"/>
      <c r="P48" s="40"/>
    </row>
    <row r="49" ht="15.75" customHeight="1">
      <c r="A49" s="40"/>
      <c r="B49" s="103" t="s">
        <v>60</v>
      </c>
      <c r="C49" s="104" t="s">
        <v>61</v>
      </c>
      <c r="D49" s="105"/>
      <c r="E49" s="106"/>
      <c r="F49" s="104" t="s">
        <v>62</v>
      </c>
      <c r="G49" s="105"/>
      <c r="H49" s="107"/>
      <c r="I49" s="110"/>
      <c r="J49" s="1"/>
      <c r="K49" s="1"/>
      <c r="L49" s="1"/>
      <c r="M49" s="1"/>
      <c r="N49" s="1"/>
      <c r="O49" s="1"/>
      <c r="P49" s="40"/>
    </row>
    <row r="50" ht="15.75" customHeight="1">
      <c r="A50" s="40"/>
      <c r="B50" s="112"/>
      <c r="C50" s="113" t="s">
        <v>65</v>
      </c>
      <c r="D50" s="114" t="s">
        <v>66</v>
      </c>
      <c r="E50" s="115" t="s">
        <v>67</v>
      </c>
      <c r="F50" s="113" t="s">
        <v>65</v>
      </c>
      <c r="G50" s="114" t="s">
        <v>66</v>
      </c>
      <c r="H50" s="116" t="s">
        <v>67</v>
      </c>
      <c r="I50" s="110"/>
      <c r="J50" s="101" t="s">
        <v>59</v>
      </c>
      <c r="K50" s="102"/>
      <c r="L50" s="1"/>
      <c r="M50" s="1"/>
      <c r="N50" s="97"/>
      <c r="O50" s="97"/>
      <c r="P50" s="40"/>
    </row>
    <row r="51" ht="15.75" customHeight="1">
      <c r="A51" s="40"/>
      <c r="B51" s="132" t="s">
        <v>68</v>
      </c>
      <c r="C51" s="122"/>
      <c r="D51" s="84"/>
      <c r="E51" s="123"/>
      <c r="F51" s="86"/>
      <c r="G51" s="84"/>
      <c r="H51" s="124"/>
      <c r="I51" s="110"/>
      <c r="J51" s="108" t="s">
        <v>63</v>
      </c>
      <c r="K51" s="109"/>
      <c r="L51" s="110"/>
      <c r="M51" s="111" t="s">
        <v>64</v>
      </c>
      <c r="N51" s="109"/>
      <c r="O51" s="102"/>
      <c r="P51" s="40"/>
    </row>
    <row r="52" ht="15.75" customHeight="1">
      <c r="A52" s="40"/>
      <c r="B52" s="132" t="s">
        <v>69</v>
      </c>
      <c r="C52" s="122"/>
      <c r="D52" s="84"/>
      <c r="E52" s="123"/>
      <c r="F52" s="86"/>
      <c r="G52" s="84"/>
      <c r="H52" s="124"/>
      <c r="I52" s="110"/>
      <c r="J52" s="117" t="str">
        <f t="array" ref="J52">GPA({K8:K17,M8:M17,O8:O17;K22:K31,M22:M31,O22:O31;K36:K45,M36:M45,O36:O45},1,2)</f>
        <v>Loading...</v>
      </c>
      <c r="K52" s="118"/>
      <c r="L52" s="110"/>
      <c r="M52" s="119" t="str">
        <f t="array" ref="M52">CREDITSSUM({K8:K17,M8:M17;K22:K31,M22:M31;K36:K45,M36:M45},1,2)</f>
        <v>Loading...</v>
      </c>
      <c r="N52" s="118"/>
      <c r="O52" s="120"/>
      <c r="P52" s="40"/>
    </row>
    <row r="53" ht="15.75" customHeight="1">
      <c r="A53" s="40"/>
      <c r="B53" s="121" t="s">
        <v>70</v>
      </c>
      <c r="C53" s="122"/>
      <c r="D53" s="84"/>
      <c r="E53" s="123"/>
      <c r="F53" s="86"/>
      <c r="G53" s="84"/>
      <c r="H53" s="124"/>
      <c r="I53" s="97"/>
      <c r="J53" s="97"/>
      <c r="K53" s="97"/>
      <c r="L53" s="131"/>
      <c r="M53" s="97"/>
      <c r="N53" s="97"/>
      <c r="O53" s="97"/>
      <c r="P53" s="40"/>
    </row>
    <row r="54" ht="15.75" customHeight="1">
      <c r="A54" s="40"/>
      <c r="B54" s="125" t="s">
        <v>71</v>
      </c>
      <c r="C54" s="126"/>
      <c r="D54" s="127"/>
      <c r="E54" s="128"/>
      <c r="F54" s="129"/>
      <c r="G54" s="127"/>
      <c r="H54" s="130"/>
      <c r="I54" s="97"/>
      <c r="J54" s="97"/>
      <c r="K54" s="97"/>
      <c r="L54" s="131"/>
      <c r="M54" s="97"/>
      <c r="N54" s="97"/>
      <c r="O54" s="97"/>
      <c r="P54" s="40"/>
    </row>
    <row r="55" ht="15.75" customHeight="1">
      <c r="A55" s="40"/>
      <c r="B55" s="96"/>
      <c r="C55" s="96"/>
      <c r="D55" s="96"/>
      <c r="E55" s="96"/>
      <c r="F55" s="96"/>
      <c r="G55" s="96"/>
      <c r="H55" s="96"/>
      <c r="I55" s="97"/>
      <c r="J55" s="97"/>
      <c r="K55" s="97"/>
      <c r="L55" s="131"/>
      <c r="M55" s="97"/>
      <c r="N55" s="97"/>
      <c r="O55" s="97"/>
      <c r="P55" s="40"/>
    </row>
    <row r="56" ht="15.75" customHeight="1">
      <c r="A56" s="40"/>
      <c r="B56" s="96"/>
      <c r="C56" s="96"/>
      <c r="D56" s="96"/>
      <c r="E56" s="96"/>
      <c r="F56" s="96"/>
      <c r="G56" s="96"/>
      <c r="H56" s="96"/>
      <c r="I56" s="97"/>
      <c r="J56" s="97"/>
      <c r="K56" s="97"/>
      <c r="L56" s="131"/>
      <c r="M56" s="97"/>
      <c r="N56" s="97"/>
      <c r="O56" s="97"/>
      <c r="P56" s="40"/>
    </row>
  </sheetData>
  <mergeCells count="74">
    <mergeCell ref="B28:J28"/>
    <mergeCell ref="B29:J29"/>
    <mergeCell ref="B30:J30"/>
    <mergeCell ref="B31:J31"/>
    <mergeCell ref="J32:K32"/>
    <mergeCell ref="J33:K33"/>
    <mergeCell ref="J34:K34"/>
    <mergeCell ref="B35:J35"/>
    <mergeCell ref="B36:J36"/>
    <mergeCell ref="B37:J37"/>
    <mergeCell ref="B38:J38"/>
    <mergeCell ref="B39:J39"/>
    <mergeCell ref="B40:J40"/>
    <mergeCell ref="B41:J41"/>
    <mergeCell ref="M47:O47"/>
    <mergeCell ref="M48:O48"/>
    <mergeCell ref="M51:O51"/>
    <mergeCell ref="M52:O52"/>
    <mergeCell ref="B49:B50"/>
    <mergeCell ref="C49:E49"/>
    <mergeCell ref="F49:H49"/>
    <mergeCell ref="J50:K50"/>
    <mergeCell ref="J51:K51"/>
    <mergeCell ref="J52:K52"/>
    <mergeCell ref="B42:J42"/>
    <mergeCell ref="B43:J43"/>
    <mergeCell ref="B44:J44"/>
    <mergeCell ref="B45:J45"/>
    <mergeCell ref="J46:K46"/>
    <mergeCell ref="J47:K47"/>
    <mergeCell ref="J48:K48"/>
    <mergeCell ref="C1:H1"/>
    <mergeCell ref="I1:O1"/>
    <mergeCell ref="C2:E2"/>
    <mergeCell ref="F2:H2"/>
    <mergeCell ref="I2:J2"/>
    <mergeCell ref="K2:O2"/>
    <mergeCell ref="C3:E3"/>
    <mergeCell ref="K3:O3"/>
    <mergeCell ref="F3:H3"/>
    <mergeCell ref="I3:J3"/>
    <mergeCell ref="C4:E4"/>
    <mergeCell ref="F4:H4"/>
    <mergeCell ref="I4:J4"/>
    <mergeCell ref="K4:O4"/>
    <mergeCell ref="C5:E6"/>
    <mergeCell ref="K5:O6"/>
    <mergeCell ref="F5:H6"/>
    <mergeCell ref="I5:J6"/>
    <mergeCell ref="B7:J7"/>
    <mergeCell ref="B8:J8"/>
    <mergeCell ref="B9:J9"/>
    <mergeCell ref="B10:J10"/>
    <mergeCell ref="B11:J11"/>
    <mergeCell ref="J19:K19"/>
    <mergeCell ref="M19:O19"/>
    <mergeCell ref="J20:K20"/>
    <mergeCell ref="M20:O20"/>
    <mergeCell ref="B12:J12"/>
    <mergeCell ref="B13:J13"/>
    <mergeCell ref="B14:J14"/>
    <mergeCell ref="B15:J15"/>
    <mergeCell ref="B16:J16"/>
    <mergeCell ref="B17:J17"/>
    <mergeCell ref="J18:K18"/>
    <mergeCell ref="B21:J21"/>
    <mergeCell ref="B22:J22"/>
    <mergeCell ref="B23:J23"/>
    <mergeCell ref="B24:J24"/>
    <mergeCell ref="B25:J25"/>
    <mergeCell ref="B26:J26"/>
    <mergeCell ref="B27:J27"/>
    <mergeCell ref="M33:O33"/>
    <mergeCell ref="M34:O34"/>
  </mergeCells>
  <dataValidations>
    <dataValidation type="custom" allowBlank="1" showDropDown="1" showInputMessage="1" showErrorMessage="1" prompt="Enter a number" sqref="K8:K15 O8:O17 K22:K30 O22:O31 K36:K44 O36:O45">
      <formula1>ISNUMBER(K8)</formula1>
    </dataValidation>
    <dataValidation type="list" allowBlank="1" showInputMessage="1" showErrorMessage="1" prompt="Click and enter a valid scale from the list of items. The valid scales are Letter, 0-100, 0-4, and None" sqref="B3">
      <formula1>"Letter,0-4,0-100,None"</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8.88"/>
    <col customWidth="1" min="3" max="8" width="6.38"/>
    <col customWidth="1" hidden="1" min="9" max="9" width="18.88"/>
    <col customWidth="1" min="10" max="10" width="18.88"/>
    <col customWidth="1" min="11" max="11" width="6.38"/>
    <col customWidth="1" hidden="1" min="12" max="12" width="18.88"/>
    <col customWidth="1" min="13" max="13" width="6.38"/>
    <col customWidth="1" hidden="1" min="14" max="14" width="6.38"/>
    <col customWidth="1" min="15" max="15" width="6.38"/>
  </cols>
  <sheetData>
    <row r="1" ht="31.5" customHeight="1">
      <c r="A1" s="58"/>
      <c r="B1" s="1"/>
      <c r="C1" s="71" t="s">
        <v>5</v>
      </c>
      <c r="I1" s="58" t="s">
        <v>6</v>
      </c>
      <c r="P1" s="72"/>
    </row>
    <row r="2" ht="15.75" customHeight="1">
      <c r="A2" s="73"/>
      <c r="B2" s="74" t="s">
        <v>50</v>
      </c>
      <c r="C2" s="59" t="s">
        <v>8</v>
      </c>
      <c r="F2" s="60" t="str">
        <f>'Getting Started'!$G$10</f>
        <v/>
      </c>
      <c r="I2" s="59" t="s">
        <v>9</v>
      </c>
      <c r="K2" s="60" t="str">
        <f>'Getting Started'!$I$10</f>
        <v/>
      </c>
      <c r="P2" s="40"/>
    </row>
    <row r="3" ht="15.75" customHeight="1">
      <c r="A3" s="73"/>
      <c r="B3" s="75" t="s">
        <v>51</v>
      </c>
      <c r="C3" s="59" t="s">
        <v>11</v>
      </c>
      <c r="F3" s="61" t="str">
        <f>'Getting Started'!$G$11</f>
        <v/>
      </c>
      <c r="I3" s="59" t="s">
        <v>12</v>
      </c>
      <c r="K3" s="60" t="str">
        <f>'Getting Started'!$I$11</f>
        <v/>
      </c>
      <c r="P3" s="40"/>
    </row>
    <row r="4" ht="31.5" customHeight="1">
      <c r="A4" s="73"/>
      <c r="B4" s="1"/>
      <c r="C4" s="59" t="s">
        <v>13</v>
      </c>
      <c r="F4" s="60" t="str">
        <f>'Getting Started'!$G$12</f>
        <v/>
      </c>
      <c r="I4" s="59" t="s">
        <v>14</v>
      </c>
      <c r="K4" s="60" t="str">
        <f>'Getting Started'!$I$12</f>
        <v/>
      </c>
      <c r="P4" s="40"/>
    </row>
    <row r="5" ht="15.75" customHeight="1">
      <c r="A5" s="73"/>
      <c r="B5" s="1"/>
      <c r="C5" s="59" t="s">
        <v>15</v>
      </c>
      <c r="F5" s="62" t="str">
        <f>'Getting Started'!$G$14</f>
        <v/>
      </c>
      <c r="I5" s="59" t="s">
        <v>16</v>
      </c>
      <c r="K5" s="60" t="str">
        <f>'Getting Started'!$I$14</f>
        <v/>
      </c>
      <c r="P5" s="40"/>
    </row>
    <row r="6" ht="15.75" customHeight="1">
      <c r="A6" s="73"/>
      <c r="B6" s="19" t="s">
        <v>78</v>
      </c>
      <c r="P6" s="40"/>
    </row>
    <row r="7" ht="31.5" customHeight="1">
      <c r="A7" s="40"/>
      <c r="B7" s="76" t="s">
        <v>53</v>
      </c>
      <c r="C7" s="8"/>
      <c r="D7" s="8"/>
      <c r="E7" s="8"/>
      <c r="F7" s="8"/>
      <c r="G7" s="8"/>
      <c r="H7" s="8"/>
      <c r="I7" s="8"/>
      <c r="J7" s="77"/>
      <c r="K7" s="78" t="s">
        <v>54</v>
      </c>
      <c r="L7" s="79" t="s">
        <v>55</v>
      </c>
      <c r="M7" s="80" t="s">
        <v>56</v>
      </c>
      <c r="N7" s="81"/>
      <c r="O7" s="82" t="s">
        <v>57</v>
      </c>
      <c r="P7" s="1"/>
    </row>
    <row r="8" ht="15.75" customHeight="1">
      <c r="A8" s="40"/>
      <c r="B8" s="83"/>
      <c r="J8" s="47"/>
      <c r="K8" s="84"/>
      <c r="L8" s="85"/>
      <c r="M8" s="86"/>
      <c r="N8" s="87"/>
      <c r="O8" s="88"/>
      <c r="P8" s="1"/>
    </row>
    <row r="9" ht="15.75" customHeight="1">
      <c r="A9" s="40"/>
      <c r="B9" s="141"/>
      <c r="J9" s="47"/>
      <c r="K9" s="84"/>
      <c r="L9" s="85" t="b">
        <v>0</v>
      </c>
      <c r="M9" s="86"/>
      <c r="N9" s="142"/>
      <c r="O9" s="88"/>
      <c r="P9" s="40"/>
    </row>
    <row r="10" ht="15.75" customHeight="1">
      <c r="A10" s="40"/>
      <c r="B10" s="141"/>
      <c r="J10" s="47"/>
      <c r="K10" s="84"/>
      <c r="L10" s="143" t="b">
        <v>0</v>
      </c>
      <c r="M10" s="86"/>
      <c r="N10" s="142"/>
      <c r="O10" s="144"/>
      <c r="P10" s="40"/>
    </row>
    <row r="11" ht="15.75" customHeight="1">
      <c r="A11" s="40"/>
      <c r="B11" s="141"/>
      <c r="J11" s="47"/>
      <c r="K11" s="145"/>
      <c r="L11" s="85" t="b">
        <v>0</v>
      </c>
      <c r="M11" s="146"/>
      <c r="N11" s="142"/>
      <c r="O11" s="144"/>
      <c r="P11" s="40"/>
    </row>
    <row r="12" ht="15.75" customHeight="1">
      <c r="A12" s="40"/>
      <c r="B12" s="141"/>
      <c r="J12" s="47"/>
      <c r="K12" s="145"/>
      <c r="L12" s="85" t="b">
        <v>0</v>
      </c>
      <c r="M12" s="146"/>
      <c r="N12" s="142"/>
      <c r="O12" s="144"/>
      <c r="P12" s="40"/>
    </row>
    <row r="13" ht="15.75" customHeight="1">
      <c r="A13" s="40"/>
      <c r="B13" s="141"/>
      <c r="J13" s="47"/>
      <c r="K13" s="145"/>
      <c r="L13" s="85" t="b">
        <v>0</v>
      </c>
      <c r="M13" s="146"/>
      <c r="N13" s="142"/>
      <c r="O13" s="144"/>
      <c r="P13" s="40"/>
    </row>
    <row r="14" ht="15.75" customHeight="1">
      <c r="A14" s="40"/>
      <c r="B14" s="141"/>
      <c r="J14" s="47"/>
      <c r="K14" s="145"/>
      <c r="L14" s="143" t="b">
        <v>0</v>
      </c>
      <c r="M14" s="146"/>
      <c r="N14" s="142"/>
      <c r="O14" s="144"/>
      <c r="P14" s="40"/>
    </row>
    <row r="15" ht="15.75" customHeight="1">
      <c r="A15" s="40"/>
      <c r="B15" s="141"/>
      <c r="J15" s="47"/>
      <c r="K15" s="145"/>
      <c r="L15" s="143" t="b">
        <v>0</v>
      </c>
      <c r="M15" s="146"/>
      <c r="N15" s="142"/>
      <c r="O15" s="144"/>
      <c r="P15" s="40"/>
    </row>
    <row r="16" ht="15.75" customHeight="1">
      <c r="A16" s="40"/>
      <c r="B16" s="141"/>
      <c r="J16" s="47"/>
      <c r="K16" s="145"/>
      <c r="L16" s="143" t="b">
        <v>0</v>
      </c>
      <c r="M16" s="146"/>
      <c r="N16" s="142"/>
      <c r="O16" s="144"/>
      <c r="P16" s="40"/>
    </row>
    <row r="17" ht="15.75" customHeight="1">
      <c r="A17" s="40"/>
      <c r="B17" s="89"/>
      <c r="C17" s="16"/>
      <c r="D17" s="16"/>
      <c r="E17" s="16"/>
      <c r="F17" s="16"/>
      <c r="G17" s="16"/>
      <c r="H17" s="16"/>
      <c r="I17" s="16"/>
      <c r="J17" s="90"/>
      <c r="K17" s="91"/>
      <c r="L17" s="92" t="b">
        <v>0</v>
      </c>
      <c r="M17" s="93"/>
      <c r="N17" s="94"/>
      <c r="O17" s="95"/>
      <c r="P17" s="40"/>
    </row>
    <row r="18" ht="15.75" customHeight="1">
      <c r="A18" s="40"/>
      <c r="B18" s="96"/>
      <c r="C18" s="96"/>
      <c r="D18" s="96"/>
      <c r="E18" s="96"/>
      <c r="F18" s="96"/>
      <c r="G18" s="96"/>
      <c r="H18" s="96"/>
      <c r="I18" s="1"/>
      <c r="J18" s="101" t="s">
        <v>79</v>
      </c>
      <c r="K18" s="102"/>
      <c r="L18" s="1"/>
      <c r="M18" s="1"/>
      <c r="N18" s="97"/>
      <c r="O18" s="97"/>
      <c r="P18" s="40"/>
    </row>
    <row r="19" ht="15.75" customHeight="1">
      <c r="A19" s="40"/>
      <c r="B19" s="96"/>
      <c r="C19" s="96"/>
      <c r="D19" s="96"/>
      <c r="E19" s="96"/>
      <c r="F19" s="96"/>
      <c r="G19" s="96"/>
      <c r="H19" s="96"/>
      <c r="I19" s="100"/>
      <c r="J19" s="108" t="s">
        <v>63</v>
      </c>
      <c r="K19" s="109"/>
      <c r="L19" s="110"/>
      <c r="M19" s="111" t="s">
        <v>64</v>
      </c>
      <c r="N19" s="109"/>
      <c r="O19" s="102"/>
      <c r="P19" s="40"/>
    </row>
    <row r="20" ht="15.75" customHeight="1">
      <c r="A20" s="40"/>
      <c r="B20" s="19" t="s">
        <v>80</v>
      </c>
      <c r="C20" s="150"/>
      <c r="D20" s="150"/>
      <c r="E20" s="150"/>
      <c r="F20" s="150"/>
      <c r="G20" s="150"/>
      <c r="H20" s="150"/>
      <c r="I20" s="100"/>
      <c r="J20" s="117" t="str">
        <f t="array" ref="J20">GPA({K8:K17,M8:M17,O8:O17},1,2)</f>
        <v>Loading...</v>
      </c>
      <c r="K20" s="118"/>
      <c r="L20" s="110"/>
      <c r="M20" s="119" t="str">
        <f t="array" ref="M20">CREDITSSUM({K8:K17,M8:M17},1,2)</f>
        <v>Loading...</v>
      </c>
      <c r="N20" s="118"/>
      <c r="O20" s="120"/>
      <c r="P20" s="40"/>
    </row>
    <row r="21" ht="31.5" customHeight="1">
      <c r="A21" s="40"/>
      <c r="B21" s="76" t="s">
        <v>53</v>
      </c>
      <c r="C21" s="8"/>
      <c r="D21" s="8"/>
      <c r="E21" s="8"/>
      <c r="F21" s="8"/>
      <c r="G21" s="8"/>
      <c r="H21" s="8"/>
      <c r="I21" s="8"/>
      <c r="J21" s="77"/>
      <c r="K21" s="78" t="s">
        <v>54</v>
      </c>
      <c r="L21" s="79" t="s">
        <v>55</v>
      </c>
      <c r="M21" s="80" t="s">
        <v>56</v>
      </c>
      <c r="N21" s="81"/>
      <c r="O21" s="82" t="s">
        <v>57</v>
      </c>
      <c r="P21" s="1"/>
    </row>
    <row r="22" ht="15.75" customHeight="1">
      <c r="A22" s="40"/>
      <c r="B22" s="83"/>
      <c r="J22" s="47"/>
      <c r="K22" s="84"/>
      <c r="L22" s="85"/>
      <c r="M22" s="86"/>
      <c r="N22" s="87"/>
      <c r="O22" s="88"/>
      <c r="P22" s="1"/>
    </row>
    <row r="23" ht="15.75" customHeight="1">
      <c r="A23" s="40"/>
      <c r="B23" s="141"/>
      <c r="J23" s="47"/>
      <c r="K23" s="84"/>
      <c r="L23" s="85" t="b">
        <v>0</v>
      </c>
      <c r="M23" s="86"/>
      <c r="N23" s="142"/>
      <c r="O23" s="88"/>
      <c r="P23" s="40"/>
    </row>
    <row r="24" ht="15.75" customHeight="1">
      <c r="A24" s="40"/>
      <c r="B24" s="141"/>
      <c r="J24" s="47"/>
      <c r="K24" s="84"/>
      <c r="L24" s="143" t="b">
        <v>0</v>
      </c>
      <c r="M24" s="86"/>
      <c r="N24" s="142"/>
      <c r="O24" s="144"/>
      <c r="P24" s="40"/>
    </row>
    <row r="25" ht="15.75" customHeight="1">
      <c r="A25" s="40"/>
      <c r="B25" s="141"/>
      <c r="J25" s="47"/>
      <c r="K25" s="145"/>
      <c r="L25" s="143" t="b">
        <v>0</v>
      </c>
      <c r="M25" s="146"/>
      <c r="N25" s="142"/>
      <c r="O25" s="144"/>
      <c r="P25" s="40"/>
    </row>
    <row r="26" ht="15.75" customHeight="1">
      <c r="A26" s="40"/>
      <c r="B26" s="141"/>
      <c r="J26" s="47"/>
      <c r="K26" s="145"/>
      <c r="L26" s="85" t="b">
        <v>0</v>
      </c>
      <c r="M26" s="146"/>
      <c r="N26" s="142"/>
      <c r="O26" s="144"/>
      <c r="P26" s="40"/>
    </row>
    <row r="27" ht="15.75" customHeight="1">
      <c r="A27" s="40"/>
      <c r="B27" s="141"/>
      <c r="J27" s="47"/>
      <c r="K27" s="145"/>
      <c r="L27" s="85" t="b">
        <v>0</v>
      </c>
      <c r="M27" s="146"/>
      <c r="N27" s="142"/>
      <c r="O27" s="144"/>
      <c r="P27" s="40"/>
    </row>
    <row r="28" ht="15.75" customHeight="1">
      <c r="A28" s="40"/>
      <c r="B28" s="141"/>
      <c r="J28" s="47"/>
      <c r="K28" s="146"/>
      <c r="L28" s="85" t="b">
        <v>0</v>
      </c>
      <c r="M28" s="146"/>
      <c r="N28" s="142"/>
      <c r="O28" s="144"/>
      <c r="P28" s="40"/>
    </row>
    <row r="29" ht="15.75" customHeight="1">
      <c r="A29" s="40"/>
      <c r="B29" s="141"/>
      <c r="J29" s="47"/>
      <c r="K29" s="145"/>
      <c r="L29" s="143" t="b">
        <v>0</v>
      </c>
      <c r="M29" s="146"/>
      <c r="N29" s="142"/>
      <c r="O29" s="144"/>
      <c r="P29" s="40"/>
    </row>
    <row r="30" ht="15.75" customHeight="1">
      <c r="A30" s="40"/>
      <c r="B30" s="141"/>
      <c r="J30" s="47"/>
      <c r="K30" s="145"/>
      <c r="L30" s="143" t="b">
        <v>0</v>
      </c>
      <c r="M30" s="146"/>
      <c r="N30" s="142"/>
      <c r="O30" s="144"/>
      <c r="P30" s="40"/>
    </row>
    <row r="31" ht="15.75" customHeight="1">
      <c r="A31" s="40"/>
      <c r="B31" s="89"/>
      <c r="C31" s="16"/>
      <c r="D31" s="16"/>
      <c r="E31" s="16"/>
      <c r="F31" s="16"/>
      <c r="G31" s="16"/>
      <c r="H31" s="16"/>
      <c r="I31" s="16"/>
      <c r="J31" s="90"/>
      <c r="K31" s="91"/>
      <c r="L31" s="92" t="b">
        <v>0</v>
      </c>
      <c r="M31" s="93"/>
      <c r="N31" s="94"/>
      <c r="O31" s="95"/>
      <c r="P31" s="40"/>
    </row>
    <row r="32" ht="15.75" customHeight="1">
      <c r="A32" s="40"/>
      <c r="B32" s="96"/>
      <c r="C32" s="96"/>
      <c r="D32" s="96"/>
      <c r="E32" s="96"/>
      <c r="F32" s="96"/>
      <c r="G32" s="96"/>
      <c r="H32" s="96"/>
      <c r="I32" s="1"/>
      <c r="J32" s="101" t="s">
        <v>81</v>
      </c>
      <c r="K32" s="102"/>
      <c r="L32" s="1"/>
      <c r="M32" s="1"/>
      <c r="N32" s="97"/>
      <c r="O32" s="97"/>
      <c r="P32" s="40"/>
    </row>
    <row r="33" ht="15.75" customHeight="1">
      <c r="A33" s="40"/>
      <c r="B33" s="96"/>
      <c r="C33" s="96"/>
      <c r="D33" s="96"/>
      <c r="E33" s="96"/>
      <c r="F33" s="96"/>
      <c r="G33" s="96"/>
      <c r="H33" s="96"/>
      <c r="I33" s="100"/>
      <c r="J33" s="108" t="s">
        <v>63</v>
      </c>
      <c r="K33" s="109"/>
      <c r="L33" s="110"/>
      <c r="M33" s="111" t="s">
        <v>64</v>
      </c>
      <c r="N33" s="109"/>
      <c r="O33" s="102"/>
      <c r="P33" s="40"/>
    </row>
    <row r="34" ht="15.75" customHeight="1">
      <c r="A34" s="40"/>
      <c r="B34" s="19" t="s">
        <v>82</v>
      </c>
      <c r="C34" s="150"/>
      <c r="D34" s="150"/>
      <c r="E34" s="150"/>
      <c r="F34" s="150"/>
      <c r="G34" s="150"/>
      <c r="H34" s="150"/>
      <c r="I34" s="100"/>
      <c r="J34" s="117" t="str">
        <f t="array" ref="J34">GPA({K22:K31,M22:M31,O22:O31},1,2)</f>
        <v>Loading...</v>
      </c>
      <c r="K34" s="118"/>
      <c r="L34" s="110"/>
      <c r="M34" s="119" t="str">
        <f t="array" ref="M34">CREDITSSUM({K22:K31,M22:M31},1,2)</f>
        <v>Loading...</v>
      </c>
      <c r="N34" s="118"/>
      <c r="O34" s="120"/>
      <c r="P34" s="40"/>
    </row>
    <row r="35" ht="31.5" customHeight="1">
      <c r="A35" s="40"/>
      <c r="B35" s="76" t="s">
        <v>53</v>
      </c>
      <c r="C35" s="8"/>
      <c r="D35" s="8"/>
      <c r="E35" s="8"/>
      <c r="F35" s="8"/>
      <c r="G35" s="8"/>
      <c r="H35" s="8"/>
      <c r="I35" s="8"/>
      <c r="J35" s="77"/>
      <c r="K35" s="78" t="s">
        <v>54</v>
      </c>
      <c r="L35" s="79" t="s">
        <v>55</v>
      </c>
      <c r="M35" s="80" t="s">
        <v>56</v>
      </c>
      <c r="N35" s="81"/>
      <c r="O35" s="82" t="s">
        <v>57</v>
      </c>
      <c r="P35" s="1"/>
    </row>
    <row r="36" ht="15.75" customHeight="1">
      <c r="A36" s="40"/>
      <c r="B36" s="83"/>
      <c r="J36" s="47"/>
      <c r="K36" s="84"/>
      <c r="L36" s="85"/>
      <c r="M36" s="86"/>
      <c r="N36" s="87"/>
      <c r="O36" s="88"/>
      <c r="P36" s="1"/>
    </row>
    <row r="37" ht="15.75" customHeight="1">
      <c r="A37" s="40"/>
      <c r="B37" s="141"/>
      <c r="J37" s="47"/>
      <c r="K37" s="84"/>
      <c r="L37" s="85" t="b">
        <v>0</v>
      </c>
      <c r="M37" s="86"/>
      <c r="N37" s="142"/>
      <c r="O37" s="88"/>
      <c r="P37" s="40"/>
    </row>
    <row r="38" ht="15.75" customHeight="1">
      <c r="A38" s="40"/>
      <c r="B38" s="141"/>
      <c r="J38" s="47"/>
      <c r="K38" s="84"/>
      <c r="L38" s="143" t="b">
        <v>0</v>
      </c>
      <c r="M38" s="86"/>
      <c r="N38" s="142"/>
      <c r="O38" s="144"/>
      <c r="P38" s="40"/>
    </row>
    <row r="39" ht="15.75" customHeight="1">
      <c r="A39" s="40"/>
      <c r="B39" s="141"/>
      <c r="J39" s="47"/>
      <c r="K39" s="145"/>
      <c r="L39" s="143" t="b">
        <v>0</v>
      </c>
      <c r="M39" s="146"/>
      <c r="N39" s="142"/>
      <c r="O39" s="144"/>
      <c r="P39" s="40"/>
    </row>
    <row r="40" ht="15.75" customHeight="1">
      <c r="A40" s="40"/>
      <c r="B40" s="141"/>
      <c r="J40" s="47"/>
      <c r="K40" s="145"/>
      <c r="L40" s="85" t="b">
        <v>0</v>
      </c>
      <c r="M40" s="146"/>
      <c r="N40" s="142"/>
      <c r="O40" s="144"/>
      <c r="P40" s="40"/>
    </row>
    <row r="41" ht="15.75" customHeight="1">
      <c r="A41" s="40"/>
      <c r="B41" s="141"/>
      <c r="J41" s="47"/>
      <c r="K41" s="145"/>
      <c r="L41" s="85" t="b">
        <v>0</v>
      </c>
      <c r="M41" s="146"/>
      <c r="N41" s="142"/>
      <c r="O41" s="144"/>
      <c r="P41" s="40"/>
    </row>
    <row r="42" ht="15.75" customHeight="1">
      <c r="A42" s="40"/>
      <c r="B42" s="141"/>
      <c r="J42" s="47"/>
      <c r="K42" s="146"/>
      <c r="L42" s="85" t="b">
        <v>0</v>
      </c>
      <c r="M42" s="146"/>
      <c r="N42" s="142"/>
      <c r="O42" s="144"/>
      <c r="P42" s="40"/>
    </row>
    <row r="43" ht="15.75" customHeight="1">
      <c r="A43" s="40"/>
      <c r="B43" s="141"/>
      <c r="J43" s="47"/>
      <c r="K43" s="145"/>
      <c r="L43" s="143" t="b">
        <v>0</v>
      </c>
      <c r="M43" s="146"/>
      <c r="N43" s="142"/>
      <c r="O43" s="144"/>
      <c r="P43" s="40"/>
    </row>
    <row r="44" ht="15.75" customHeight="1">
      <c r="A44" s="40"/>
      <c r="B44" s="141"/>
      <c r="J44" s="47"/>
      <c r="K44" s="145"/>
      <c r="L44" s="143" t="b">
        <v>0</v>
      </c>
      <c r="M44" s="146"/>
      <c r="N44" s="142"/>
      <c r="O44" s="144"/>
      <c r="P44" s="40"/>
    </row>
    <row r="45" ht="15.75" customHeight="1">
      <c r="A45" s="40"/>
      <c r="B45" s="89"/>
      <c r="C45" s="16"/>
      <c r="D45" s="16"/>
      <c r="E45" s="16"/>
      <c r="F45" s="16"/>
      <c r="G45" s="16"/>
      <c r="H45" s="16"/>
      <c r="I45" s="16"/>
      <c r="J45" s="90"/>
      <c r="K45" s="91"/>
      <c r="L45" s="92" t="b">
        <v>0</v>
      </c>
      <c r="M45" s="93"/>
      <c r="N45" s="94"/>
      <c r="O45" s="95"/>
      <c r="P45" s="40"/>
    </row>
    <row r="46" ht="15.75" customHeight="1">
      <c r="A46" s="40"/>
      <c r="B46" s="96"/>
      <c r="C46" s="96"/>
      <c r="D46" s="96"/>
      <c r="E46" s="96"/>
      <c r="F46" s="96"/>
      <c r="G46" s="96"/>
      <c r="H46" s="96"/>
      <c r="I46" s="1"/>
      <c r="J46" s="101" t="s">
        <v>83</v>
      </c>
      <c r="K46" s="102"/>
      <c r="L46" s="1"/>
      <c r="M46" s="1"/>
      <c r="N46" s="97"/>
      <c r="O46" s="97"/>
      <c r="P46" s="40"/>
    </row>
    <row r="47" ht="15.75" customHeight="1">
      <c r="A47" s="40"/>
      <c r="B47" s="96"/>
      <c r="C47" s="96"/>
      <c r="D47" s="96"/>
      <c r="E47" s="96"/>
      <c r="F47" s="96"/>
      <c r="G47" s="96"/>
      <c r="H47" s="96"/>
      <c r="I47" s="100"/>
      <c r="J47" s="108" t="s">
        <v>63</v>
      </c>
      <c r="K47" s="109"/>
      <c r="L47" s="110"/>
      <c r="M47" s="111" t="s">
        <v>64</v>
      </c>
      <c r="N47" s="109"/>
      <c r="O47" s="102"/>
      <c r="P47" s="40"/>
    </row>
    <row r="48" ht="15.75" customHeight="1">
      <c r="A48" s="40"/>
      <c r="B48" s="98" t="s">
        <v>58</v>
      </c>
      <c r="C48" s="99"/>
      <c r="D48" s="99"/>
      <c r="E48" s="99"/>
      <c r="F48" s="99"/>
      <c r="G48" s="99"/>
      <c r="H48" s="99"/>
      <c r="I48" s="100"/>
      <c r="J48" s="117" t="str">
        <f t="array" ref="J48">GPA({K36:K45,M36:M45,O36:O45},1,2)</f>
        <v>Loading...</v>
      </c>
      <c r="K48" s="118"/>
      <c r="L48" s="110"/>
      <c r="M48" s="119" t="str">
        <f t="array" ref="M48">CREDITSSUM({K36:K45,M36:M45},1,2)</f>
        <v>Loading...</v>
      </c>
      <c r="N48" s="118"/>
      <c r="O48" s="120"/>
      <c r="P48" s="40"/>
    </row>
    <row r="49" ht="15.75" customHeight="1">
      <c r="A49" s="40"/>
      <c r="B49" s="103" t="s">
        <v>60</v>
      </c>
      <c r="C49" s="104" t="s">
        <v>61</v>
      </c>
      <c r="D49" s="105"/>
      <c r="E49" s="106"/>
      <c r="F49" s="104" t="s">
        <v>62</v>
      </c>
      <c r="G49" s="105"/>
      <c r="H49" s="107"/>
      <c r="I49" s="110"/>
      <c r="J49" s="1"/>
      <c r="K49" s="1"/>
      <c r="L49" s="1"/>
      <c r="M49" s="1"/>
      <c r="N49" s="1"/>
      <c r="O49" s="1"/>
      <c r="P49" s="40"/>
    </row>
    <row r="50" ht="15.75" customHeight="1">
      <c r="A50" s="40"/>
      <c r="B50" s="112"/>
      <c r="C50" s="113" t="s">
        <v>65</v>
      </c>
      <c r="D50" s="114" t="s">
        <v>66</v>
      </c>
      <c r="E50" s="115" t="s">
        <v>67</v>
      </c>
      <c r="F50" s="113" t="s">
        <v>65</v>
      </c>
      <c r="G50" s="114" t="s">
        <v>66</v>
      </c>
      <c r="H50" s="116" t="s">
        <v>67</v>
      </c>
      <c r="I50" s="110"/>
      <c r="J50" s="101" t="s">
        <v>59</v>
      </c>
      <c r="K50" s="102"/>
      <c r="L50" s="1"/>
      <c r="M50" s="1"/>
      <c r="N50" s="97"/>
      <c r="O50" s="97"/>
      <c r="P50" s="40"/>
    </row>
    <row r="51" ht="15.75" customHeight="1">
      <c r="A51" s="40"/>
      <c r="B51" s="132" t="s">
        <v>68</v>
      </c>
      <c r="C51" s="122"/>
      <c r="D51" s="84"/>
      <c r="E51" s="123"/>
      <c r="F51" s="86"/>
      <c r="G51" s="84"/>
      <c r="H51" s="124"/>
      <c r="I51" s="110"/>
      <c r="J51" s="108" t="s">
        <v>63</v>
      </c>
      <c r="K51" s="109"/>
      <c r="L51" s="110"/>
      <c r="M51" s="111" t="s">
        <v>64</v>
      </c>
      <c r="N51" s="109"/>
      <c r="O51" s="102"/>
      <c r="P51" s="40"/>
    </row>
    <row r="52" ht="15.75" customHeight="1">
      <c r="A52" s="40"/>
      <c r="B52" s="132" t="s">
        <v>69</v>
      </c>
      <c r="C52" s="122"/>
      <c r="D52" s="84"/>
      <c r="E52" s="123"/>
      <c r="F52" s="86"/>
      <c r="G52" s="84"/>
      <c r="H52" s="124"/>
      <c r="I52" s="110"/>
      <c r="J52" s="117" t="str">
        <f t="array" ref="J52">GPA({K8:K17,M8:M17,O8:O17;K22:K31,M22:M31,O22:O31;K36:K45,M36:M45,O36:O45},1,2)</f>
        <v>Loading...</v>
      </c>
      <c r="K52" s="118"/>
      <c r="L52" s="110"/>
      <c r="M52" s="119" t="str">
        <f t="array" ref="M52">CREDITSSUM({K8:K17,M8:M17;K22:K31,M22:M31;K36:K45,M36:M45},1,2)</f>
        <v>Loading...</v>
      </c>
      <c r="N52" s="118"/>
      <c r="O52" s="120"/>
      <c r="P52" s="40"/>
    </row>
    <row r="53" ht="15.75" customHeight="1">
      <c r="A53" s="40"/>
      <c r="B53" s="121" t="s">
        <v>70</v>
      </c>
      <c r="C53" s="122"/>
      <c r="D53" s="84"/>
      <c r="E53" s="123"/>
      <c r="F53" s="86"/>
      <c r="G53" s="84"/>
      <c r="H53" s="124"/>
      <c r="I53" s="97"/>
      <c r="J53" s="97"/>
      <c r="K53" s="97"/>
      <c r="L53" s="131"/>
      <c r="M53" s="97"/>
      <c r="N53" s="97"/>
      <c r="O53" s="97"/>
      <c r="P53" s="40"/>
    </row>
    <row r="54" ht="15.75" customHeight="1">
      <c r="A54" s="40"/>
      <c r="B54" s="125" t="s">
        <v>71</v>
      </c>
      <c r="C54" s="126"/>
      <c r="D54" s="127"/>
      <c r="E54" s="128"/>
      <c r="F54" s="129"/>
      <c r="G54" s="127"/>
      <c r="H54" s="130"/>
      <c r="I54" s="97"/>
      <c r="J54" s="97"/>
      <c r="K54" s="97"/>
      <c r="L54" s="131"/>
      <c r="M54" s="97"/>
      <c r="N54" s="97"/>
      <c r="O54" s="97"/>
      <c r="P54" s="40"/>
    </row>
    <row r="55" ht="15.75" customHeight="1">
      <c r="A55" s="40"/>
      <c r="B55" s="96"/>
      <c r="C55" s="96"/>
      <c r="D55" s="96"/>
      <c r="E55" s="96"/>
      <c r="F55" s="96"/>
      <c r="G55" s="96"/>
      <c r="H55" s="96"/>
      <c r="I55" s="97"/>
      <c r="J55" s="97"/>
      <c r="K55" s="97"/>
      <c r="L55" s="131"/>
      <c r="M55" s="97"/>
      <c r="N55" s="97"/>
      <c r="O55" s="97"/>
      <c r="P55" s="40"/>
    </row>
    <row r="56" ht="15.75" customHeight="1">
      <c r="A56" s="40"/>
      <c r="B56" s="96"/>
      <c r="C56" s="96"/>
      <c r="D56" s="96"/>
      <c r="E56" s="96"/>
      <c r="F56" s="96"/>
      <c r="G56" s="96"/>
      <c r="H56" s="96"/>
      <c r="I56" s="97"/>
      <c r="J56" s="97"/>
      <c r="K56" s="97"/>
      <c r="L56" s="131"/>
      <c r="M56" s="97"/>
      <c r="N56" s="97"/>
      <c r="O56" s="97"/>
      <c r="P56" s="40"/>
    </row>
  </sheetData>
  <mergeCells count="74">
    <mergeCell ref="B28:J28"/>
    <mergeCell ref="B29:J29"/>
    <mergeCell ref="B30:J30"/>
    <mergeCell ref="B31:J31"/>
    <mergeCell ref="J32:K32"/>
    <mergeCell ref="J33:K33"/>
    <mergeCell ref="J34:K34"/>
    <mergeCell ref="B35:J35"/>
    <mergeCell ref="B36:J36"/>
    <mergeCell ref="B37:J37"/>
    <mergeCell ref="B38:J38"/>
    <mergeCell ref="B39:J39"/>
    <mergeCell ref="B40:J40"/>
    <mergeCell ref="B41:J41"/>
    <mergeCell ref="M47:O47"/>
    <mergeCell ref="M48:O48"/>
    <mergeCell ref="M51:O51"/>
    <mergeCell ref="M52:O52"/>
    <mergeCell ref="B49:B50"/>
    <mergeCell ref="C49:E49"/>
    <mergeCell ref="F49:H49"/>
    <mergeCell ref="J50:K50"/>
    <mergeCell ref="J51:K51"/>
    <mergeCell ref="J52:K52"/>
    <mergeCell ref="B42:J42"/>
    <mergeCell ref="B43:J43"/>
    <mergeCell ref="B44:J44"/>
    <mergeCell ref="B45:J45"/>
    <mergeCell ref="J46:K46"/>
    <mergeCell ref="J47:K47"/>
    <mergeCell ref="J48:K48"/>
    <mergeCell ref="C1:H1"/>
    <mergeCell ref="I1:O1"/>
    <mergeCell ref="C2:E2"/>
    <mergeCell ref="F2:H2"/>
    <mergeCell ref="I2:J2"/>
    <mergeCell ref="K2:O2"/>
    <mergeCell ref="C3:E3"/>
    <mergeCell ref="K3:O3"/>
    <mergeCell ref="F3:H3"/>
    <mergeCell ref="I3:J3"/>
    <mergeCell ref="C4:E4"/>
    <mergeCell ref="F4:H4"/>
    <mergeCell ref="I4:J4"/>
    <mergeCell ref="K4:O4"/>
    <mergeCell ref="C5:E6"/>
    <mergeCell ref="K5:O6"/>
    <mergeCell ref="F5:H6"/>
    <mergeCell ref="I5:J6"/>
    <mergeCell ref="B7:J7"/>
    <mergeCell ref="B8:J8"/>
    <mergeCell ref="B9:J9"/>
    <mergeCell ref="B10:J10"/>
    <mergeCell ref="B11:J11"/>
    <mergeCell ref="J19:K19"/>
    <mergeCell ref="M19:O19"/>
    <mergeCell ref="J20:K20"/>
    <mergeCell ref="M20:O20"/>
    <mergeCell ref="B12:J12"/>
    <mergeCell ref="B13:J13"/>
    <mergeCell ref="B14:J14"/>
    <mergeCell ref="B15:J15"/>
    <mergeCell ref="B16:J16"/>
    <mergeCell ref="B17:J17"/>
    <mergeCell ref="J18:K18"/>
    <mergeCell ref="B21:J21"/>
    <mergeCell ref="B22:J22"/>
    <mergeCell ref="B23:J23"/>
    <mergeCell ref="B24:J24"/>
    <mergeCell ref="B25:J25"/>
    <mergeCell ref="B26:J26"/>
    <mergeCell ref="B27:J27"/>
    <mergeCell ref="M33:O33"/>
    <mergeCell ref="M34:O34"/>
  </mergeCells>
  <dataValidations>
    <dataValidation type="custom" allowBlank="1" showDropDown="1" showInputMessage="1" showErrorMessage="1" prompt="Enter a number" sqref="K8:K15 O8:O17 K22:K30 O22:O31 K36:K44 O36:O45">
      <formula1>ISNUMBER(K8)</formula1>
    </dataValidation>
    <dataValidation type="list" allowBlank="1" showInputMessage="1" showErrorMessage="1" prompt="Click and enter a valid scale from the list of items. The valid scales are Letter, 0-100, 0-4, and None" sqref="B3">
      <formula1>"Letter,0-4,0-100,None"</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8.88"/>
    <col customWidth="1" min="3" max="8" width="6.38"/>
    <col customWidth="1" hidden="1" min="9" max="9" width="18.88"/>
    <col customWidth="1" min="10" max="10" width="18.88"/>
    <col customWidth="1" min="11" max="11" width="6.38"/>
    <col customWidth="1" hidden="1" min="12" max="12" width="18.88"/>
    <col customWidth="1" min="13" max="13" width="6.38"/>
    <col customWidth="1" hidden="1" min="14" max="14" width="6.38"/>
    <col customWidth="1" min="15" max="15" width="6.38"/>
  </cols>
  <sheetData>
    <row r="1" ht="31.5" customHeight="1">
      <c r="A1" s="58"/>
      <c r="B1" s="1"/>
      <c r="C1" s="71" t="s">
        <v>5</v>
      </c>
      <c r="I1" s="58" t="s">
        <v>6</v>
      </c>
      <c r="P1" s="72"/>
    </row>
    <row r="2" ht="15.75" customHeight="1">
      <c r="A2" s="73"/>
      <c r="B2" s="74" t="s">
        <v>50</v>
      </c>
      <c r="C2" s="59" t="s">
        <v>8</v>
      </c>
      <c r="F2" s="60" t="str">
        <f>'Getting Started'!$G$10</f>
        <v/>
      </c>
      <c r="I2" s="59" t="s">
        <v>9</v>
      </c>
      <c r="K2" s="60" t="str">
        <f>'Getting Started'!$I$10</f>
        <v/>
      </c>
      <c r="P2" s="40"/>
    </row>
    <row r="3" ht="15.75" customHeight="1">
      <c r="A3" s="73"/>
      <c r="B3" s="75" t="s">
        <v>51</v>
      </c>
      <c r="C3" s="59" t="s">
        <v>11</v>
      </c>
      <c r="F3" s="61" t="str">
        <f>'Getting Started'!$G$11</f>
        <v/>
      </c>
      <c r="I3" s="59" t="s">
        <v>12</v>
      </c>
      <c r="K3" s="60" t="str">
        <f>'Getting Started'!$I$11</f>
        <v/>
      </c>
      <c r="P3" s="40"/>
    </row>
    <row r="4" ht="31.5" customHeight="1">
      <c r="A4" s="73"/>
      <c r="B4" s="1"/>
      <c r="C4" s="59" t="s">
        <v>13</v>
      </c>
      <c r="F4" s="60" t="str">
        <f>'Getting Started'!$G$12</f>
        <v/>
      </c>
      <c r="I4" s="59" t="s">
        <v>14</v>
      </c>
      <c r="K4" s="60" t="str">
        <f>'Getting Started'!$I$12</f>
        <v/>
      </c>
      <c r="P4" s="40"/>
    </row>
    <row r="5" ht="15.75" customHeight="1">
      <c r="A5" s="73"/>
      <c r="B5" s="1"/>
      <c r="C5" s="59" t="s">
        <v>15</v>
      </c>
      <c r="F5" s="62" t="str">
        <f>'Getting Started'!$G$14</f>
        <v/>
      </c>
      <c r="I5" s="59" t="s">
        <v>16</v>
      </c>
      <c r="K5" s="60" t="str">
        <f>'Getting Started'!$I$14</f>
        <v/>
      </c>
      <c r="P5" s="40"/>
    </row>
    <row r="6" ht="15.75" customHeight="1">
      <c r="A6" s="73"/>
      <c r="B6" s="19" t="s">
        <v>78</v>
      </c>
      <c r="P6" s="40"/>
    </row>
    <row r="7" ht="31.5" customHeight="1">
      <c r="A7" s="40"/>
      <c r="B7" s="76" t="s">
        <v>53</v>
      </c>
      <c r="C7" s="8"/>
      <c r="D7" s="8"/>
      <c r="E7" s="8"/>
      <c r="F7" s="8"/>
      <c r="G7" s="8"/>
      <c r="H7" s="8"/>
      <c r="I7" s="8"/>
      <c r="J7" s="77"/>
      <c r="K7" s="78" t="s">
        <v>54</v>
      </c>
      <c r="L7" s="79" t="s">
        <v>55</v>
      </c>
      <c r="M7" s="80" t="s">
        <v>56</v>
      </c>
      <c r="N7" s="81"/>
      <c r="O7" s="82" t="s">
        <v>57</v>
      </c>
      <c r="P7" s="1"/>
    </row>
    <row r="8" ht="15.75" customHeight="1">
      <c r="A8" s="40"/>
      <c r="B8" s="83"/>
      <c r="J8" s="47"/>
      <c r="K8" s="84"/>
      <c r="L8" s="85"/>
      <c r="M8" s="86"/>
      <c r="N8" s="87"/>
      <c r="O8" s="88"/>
      <c r="P8" s="1"/>
    </row>
    <row r="9" ht="15.75" customHeight="1">
      <c r="A9" s="40"/>
      <c r="B9" s="141"/>
      <c r="J9" s="47"/>
      <c r="K9" s="84"/>
      <c r="L9" s="85" t="b">
        <v>0</v>
      </c>
      <c r="M9" s="86"/>
      <c r="N9" s="142"/>
      <c r="O9" s="88"/>
      <c r="P9" s="40"/>
    </row>
    <row r="10" ht="15.75" customHeight="1">
      <c r="A10" s="40"/>
      <c r="B10" s="141"/>
      <c r="J10" s="47"/>
      <c r="K10" s="84"/>
      <c r="L10" s="143" t="b">
        <v>0</v>
      </c>
      <c r="M10" s="86"/>
      <c r="N10" s="142"/>
      <c r="O10" s="144"/>
      <c r="P10" s="40"/>
    </row>
    <row r="11" ht="15.75" customHeight="1">
      <c r="A11" s="40"/>
      <c r="B11" s="141"/>
      <c r="J11" s="47"/>
      <c r="K11" s="145"/>
      <c r="L11" s="85" t="b">
        <v>0</v>
      </c>
      <c r="M11" s="146"/>
      <c r="N11" s="142"/>
      <c r="O11" s="144"/>
      <c r="P11" s="40"/>
    </row>
    <row r="12" ht="15.75" customHeight="1">
      <c r="A12" s="40"/>
      <c r="B12" s="141"/>
      <c r="J12" s="47"/>
      <c r="K12" s="145"/>
      <c r="L12" s="85" t="b">
        <v>0</v>
      </c>
      <c r="M12" s="146"/>
      <c r="N12" s="142"/>
      <c r="O12" s="144"/>
      <c r="P12" s="40"/>
    </row>
    <row r="13" ht="15.75" customHeight="1">
      <c r="A13" s="40"/>
      <c r="B13" s="141"/>
      <c r="J13" s="47"/>
      <c r="K13" s="145"/>
      <c r="L13" s="85" t="b">
        <v>0</v>
      </c>
      <c r="M13" s="146"/>
      <c r="N13" s="142"/>
      <c r="O13" s="144"/>
      <c r="P13" s="40"/>
    </row>
    <row r="14" ht="15.75" customHeight="1">
      <c r="A14" s="40"/>
      <c r="B14" s="141"/>
      <c r="J14" s="47"/>
      <c r="K14" s="145"/>
      <c r="L14" s="143" t="b">
        <v>0</v>
      </c>
      <c r="M14" s="146"/>
      <c r="N14" s="142"/>
      <c r="O14" s="144"/>
      <c r="P14" s="40"/>
    </row>
    <row r="15" ht="15.75" customHeight="1">
      <c r="A15" s="40"/>
      <c r="B15" s="141"/>
      <c r="J15" s="47"/>
      <c r="K15" s="145"/>
      <c r="L15" s="143" t="b">
        <v>0</v>
      </c>
      <c r="M15" s="146"/>
      <c r="N15" s="142"/>
      <c r="O15" s="144"/>
      <c r="P15" s="40"/>
    </row>
    <row r="16" ht="15.75" customHeight="1">
      <c r="A16" s="40"/>
      <c r="B16" s="141"/>
      <c r="J16" s="47"/>
      <c r="K16" s="145"/>
      <c r="L16" s="143" t="b">
        <v>0</v>
      </c>
      <c r="M16" s="146"/>
      <c r="N16" s="142"/>
      <c r="O16" s="144"/>
      <c r="P16" s="40"/>
    </row>
    <row r="17" ht="15.75" customHeight="1">
      <c r="A17" s="40"/>
      <c r="B17" s="89"/>
      <c r="C17" s="16"/>
      <c r="D17" s="16"/>
      <c r="E17" s="16"/>
      <c r="F17" s="16"/>
      <c r="G17" s="16"/>
      <c r="H17" s="16"/>
      <c r="I17" s="16"/>
      <c r="J17" s="90"/>
      <c r="K17" s="91"/>
      <c r="L17" s="92" t="b">
        <v>0</v>
      </c>
      <c r="M17" s="93"/>
      <c r="N17" s="94"/>
      <c r="O17" s="95"/>
      <c r="P17" s="40"/>
    </row>
    <row r="18" ht="15.75" customHeight="1">
      <c r="A18" s="40"/>
      <c r="B18" s="96"/>
      <c r="C18" s="96"/>
      <c r="D18" s="96"/>
      <c r="E18" s="96"/>
      <c r="F18" s="96"/>
      <c r="G18" s="96"/>
      <c r="H18" s="96"/>
      <c r="I18" s="1"/>
      <c r="J18" s="101" t="s">
        <v>79</v>
      </c>
      <c r="K18" s="102"/>
      <c r="L18" s="1"/>
      <c r="M18" s="1"/>
      <c r="N18" s="97"/>
      <c r="O18" s="97"/>
      <c r="P18" s="40"/>
    </row>
    <row r="19" ht="15.75" customHeight="1">
      <c r="A19" s="40"/>
      <c r="B19" s="96"/>
      <c r="C19" s="96"/>
      <c r="D19" s="96"/>
      <c r="E19" s="96"/>
      <c r="F19" s="96"/>
      <c r="G19" s="96"/>
      <c r="H19" s="96"/>
      <c r="I19" s="100"/>
      <c r="J19" s="108" t="s">
        <v>63</v>
      </c>
      <c r="K19" s="109"/>
      <c r="L19" s="110"/>
      <c r="M19" s="111" t="s">
        <v>64</v>
      </c>
      <c r="N19" s="109"/>
      <c r="O19" s="102"/>
      <c r="P19" s="40"/>
    </row>
    <row r="20" ht="15.75" customHeight="1">
      <c r="A20" s="40"/>
      <c r="B20" s="19" t="s">
        <v>80</v>
      </c>
      <c r="C20" s="150"/>
      <c r="D20" s="150"/>
      <c r="E20" s="150"/>
      <c r="F20" s="150"/>
      <c r="G20" s="150"/>
      <c r="H20" s="150"/>
      <c r="I20" s="100"/>
      <c r="J20" s="117" t="str">
        <f t="array" ref="J20">GPA({K8:K17,M8:M17,O8:O17},1,2)</f>
        <v>Loading...</v>
      </c>
      <c r="K20" s="118"/>
      <c r="L20" s="110"/>
      <c r="M20" s="119" t="str">
        <f t="array" ref="M20">CREDITSSUM({K8:K17,M8:M17},1,2)</f>
        <v>Loading...</v>
      </c>
      <c r="N20" s="118"/>
      <c r="O20" s="120"/>
      <c r="P20" s="40"/>
    </row>
    <row r="21" ht="31.5" customHeight="1">
      <c r="A21" s="40"/>
      <c r="B21" s="76" t="s">
        <v>53</v>
      </c>
      <c r="C21" s="8"/>
      <c r="D21" s="8"/>
      <c r="E21" s="8"/>
      <c r="F21" s="8"/>
      <c r="G21" s="8"/>
      <c r="H21" s="8"/>
      <c r="I21" s="8"/>
      <c r="J21" s="77"/>
      <c r="K21" s="78" t="s">
        <v>54</v>
      </c>
      <c r="L21" s="79" t="s">
        <v>55</v>
      </c>
      <c r="M21" s="80" t="s">
        <v>56</v>
      </c>
      <c r="N21" s="81"/>
      <c r="O21" s="82" t="s">
        <v>57</v>
      </c>
      <c r="P21" s="1"/>
    </row>
    <row r="22" ht="15.75" customHeight="1">
      <c r="A22" s="40"/>
      <c r="B22" s="83"/>
      <c r="J22" s="47"/>
      <c r="K22" s="84"/>
      <c r="L22" s="85"/>
      <c r="M22" s="86"/>
      <c r="N22" s="87"/>
      <c r="O22" s="88"/>
      <c r="P22" s="1"/>
    </row>
    <row r="23" ht="15.75" customHeight="1">
      <c r="A23" s="40"/>
      <c r="B23" s="141"/>
      <c r="J23" s="47"/>
      <c r="K23" s="84"/>
      <c r="L23" s="85" t="b">
        <v>0</v>
      </c>
      <c r="M23" s="86"/>
      <c r="N23" s="142"/>
      <c r="O23" s="88"/>
      <c r="P23" s="40"/>
    </row>
    <row r="24" ht="15.75" customHeight="1">
      <c r="A24" s="40"/>
      <c r="B24" s="141"/>
      <c r="J24" s="47"/>
      <c r="K24" s="84"/>
      <c r="L24" s="143" t="b">
        <v>0</v>
      </c>
      <c r="M24" s="86"/>
      <c r="N24" s="142"/>
      <c r="O24" s="144"/>
      <c r="P24" s="40"/>
    </row>
    <row r="25" ht="15.75" customHeight="1">
      <c r="A25" s="40"/>
      <c r="B25" s="141"/>
      <c r="J25" s="47"/>
      <c r="K25" s="145"/>
      <c r="L25" s="143" t="b">
        <v>0</v>
      </c>
      <c r="M25" s="146"/>
      <c r="N25" s="142"/>
      <c r="O25" s="144"/>
      <c r="P25" s="40"/>
    </row>
    <row r="26" ht="15.75" customHeight="1">
      <c r="A26" s="40"/>
      <c r="B26" s="141"/>
      <c r="J26" s="47"/>
      <c r="K26" s="145"/>
      <c r="L26" s="85" t="b">
        <v>0</v>
      </c>
      <c r="M26" s="146"/>
      <c r="N26" s="142"/>
      <c r="O26" s="144"/>
      <c r="P26" s="40"/>
    </row>
    <row r="27" ht="15.75" customHeight="1">
      <c r="A27" s="40"/>
      <c r="B27" s="141"/>
      <c r="J27" s="47"/>
      <c r="K27" s="145"/>
      <c r="L27" s="85" t="b">
        <v>0</v>
      </c>
      <c r="M27" s="146"/>
      <c r="N27" s="142"/>
      <c r="O27" s="144"/>
      <c r="P27" s="40"/>
    </row>
    <row r="28" ht="15.75" customHeight="1">
      <c r="A28" s="40"/>
      <c r="B28" s="141"/>
      <c r="J28" s="47"/>
      <c r="K28" s="146"/>
      <c r="L28" s="85" t="b">
        <v>0</v>
      </c>
      <c r="M28" s="146"/>
      <c r="N28" s="142"/>
      <c r="O28" s="144"/>
      <c r="P28" s="40"/>
    </row>
    <row r="29" ht="15.75" customHeight="1">
      <c r="A29" s="40"/>
      <c r="B29" s="141"/>
      <c r="J29" s="47"/>
      <c r="K29" s="145"/>
      <c r="L29" s="143" t="b">
        <v>0</v>
      </c>
      <c r="M29" s="146"/>
      <c r="N29" s="142"/>
      <c r="O29" s="144"/>
      <c r="P29" s="40"/>
    </row>
    <row r="30" ht="15.75" customHeight="1">
      <c r="A30" s="40"/>
      <c r="B30" s="141"/>
      <c r="J30" s="47"/>
      <c r="K30" s="145"/>
      <c r="L30" s="143" t="b">
        <v>0</v>
      </c>
      <c r="M30" s="146"/>
      <c r="N30" s="142"/>
      <c r="O30" s="144"/>
      <c r="P30" s="40"/>
    </row>
    <row r="31" ht="15.75" customHeight="1">
      <c r="A31" s="40"/>
      <c r="B31" s="89"/>
      <c r="C31" s="16"/>
      <c r="D31" s="16"/>
      <c r="E31" s="16"/>
      <c r="F31" s="16"/>
      <c r="G31" s="16"/>
      <c r="H31" s="16"/>
      <c r="I31" s="16"/>
      <c r="J31" s="90"/>
      <c r="K31" s="91"/>
      <c r="L31" s="92" t="b">
        <v>0</v>
      </c>
      <c r="M31" s="93"/>
      <c r="N31" s="94"/>
      <c r="O31" s="95"/>
      <c r="P31" s="40"/>
    </row>
    <row r="32" ht="15.75" customHeight="1">
      <c r="A32" s="40"/>
      <c r="B32" s="96"/>
      <c r="C32" s="96"/>
      <c r="D32" s="96"/>
      <c r="E32" s="96"/>
      <c r="F32" s="96"/>
      <c r="G32" s="96"/>
      <c r="H32" s="96"/>
      <c r="I32" s="1"/>
      <c r="J32" s="101" t="s">
        <v>81</v>
      </c>
      <c r="K32" s="102"/>
      <c r="L32" s="1"/>
      <c r="M32" s="1"/>
      <c r="N32" s="97"/>
      <c r="O32" s="97"/>
      <c r="P32" s="40"/>
    </row>
    <row r="33" ht="15.75" customHeight="1">
      <c r="A33" s="40"/>
      <c r="B33" s="96"/>
      <c r="C33" s="96"/>
      <c r="D33" s="96"/>
      <c r="E33" s="96"/>
      <c r="F33" s="96"/>
      <c r="G33" s="96"/>
      <c r="H33" s="96"/>
      <c r="I33" s="100"/>
      <c r="J33" s="108" t="s">
        <v>63</v>
      </c>
      <c r="K33" s="109"/>
      <c r="L33" s="110"/>
      <c r="M33" s="111" t="s">
        <v>64</v>
      </c>
      <c r="N33" s="109"/>
      <c r="O33" s="102"/>
      <c r="P33" s="40"/>
    </row>
    <row r="34" ht="15.75" customHeight="1">
      <c r="A34" s="40"/>
      <c r="B34" s="19" t="s">
        <v>82</v>
      </c>
      <c r="C34" s="150"/>
      <c r="D34" s="150"/>
      <c r="E34" s="150"/>
      <c r="F34" s="150"/>
      <c r="G34" s="150"/>
      <c r="H34" s="150"/>
      <c r="I34" s="100"/>
      <c r="J34" s="117" t="str">
        <f t="array" ref="J34">GPA({K22:K31,M22:M31,O22:O31},1,2)</f>
        <v>Loading...</v>
      </c>
      <c r="K34" s="118"/>
      <c r="L34" s="110"/>
      <c r="M34" s="119" t="str">
        <f t="array" ref="M34">CREDITSSUM({K22:K31,M22:M31},1,2)</f>
        <v>Loading...</v>
      </c>
      <c r="N34" s="118"/>
      <c r="O34" s="120"/>
      <c r="P34" s="40"/>
    </row>
    <row r="35" ht="31.5" customHeight="1">
      <c r="A35" s="40"/>
      <c r="B35" s="76" t="s">
        <v>53</v>
      </c>
      <c r="C35" s="8"/>
      <c r="D35" s="8"/>
      <c r="E35" s="8"/>
      <c r="F35" s="8"/>
      <c r="G35" s="8"/>
      <c r="H35" s="8"/>
      <c r="I35" s="8"/>
      <c r="J35" s="77"/>
      <c r="K35" s="78" t="s">
        <v>54</v>
      </c>
      <c r="L35" s="79" t="s">
        <v>55</v>
      </c>
      <c r="M35" s="80" t="s">
        <v>56</v>
      </c>
      <c r="N35" s="81"/>
      <c r="O35" s="82" t="s">
        <v>57</v>
      </c>
      <c r="P35" s="1"/>
    </row>
    <row r="36" ht="15.75" customHeight="1">
      <c r="A36" s="40"/>
      <c r="B36" s="83"/>
      <c r="J36" s="47"/>
      <c r="K36" s="84"/>
      <c r="L36" s="85"/>
      <c r="M36" s="86"/>
      <c r="N36" s="87"/>
      <c r="O36" s="88"/>
      <c r="P36" s="1"/>
    </row>
    <row r="37" ht="15.75" customHeight="1">
      <c r="A37" s="40"/>
      <c r="B37" s="141"/>
      <c r="J37" s="47"/>
      <c r="K37" s="84"/>
      <c r="L37" s="85" t="b">
        <v>0</v>
      </c>
      <c r="M37" s="86"/>
      <c r="N37" s="142"/>
      <c r="O37" s="88"/>
      <c r="P37" s="40"/>
    </row>
    <row r="38" ht="15.75" customHeight="1">
      <c r="A38" s="40"/>
      <c r="B38" s="141"/>
      <c r="J38" s="47"/>
      <c r="K38" s="84"/>
      <c r="L38" s="143" t="b">
        <v>0</v>
      </c>
      <c r="M38" s="86"/>
      <c r="N38" s="142"/>
      <c r="O38" s="144"/>
      <c r="P38" s="40"/>
    </row>
    <row r="39" ht="15.75" customHeight="1">
      <c r="A39" s="40"/>
      <c r="B39" s="141"/>
      <c r="J39" s="47"/>
      <c r="K39" s="145"/>
      <c r="L39" s="143" t="b">
        <v>0</v>
      </c>
      <c r="M39" s="146"/>
      <c r="N39" s="142"/>
      <c r="O39" s="144"/>
      <c r="P39" s="40"/>
    </row>
    <row r="40" ht="15.75" customHeight="1">
      <c r="A40" s="40"/>
      <c r="B40" s="141"/>
      <c r="J40" s="47"/>
      <c r="K40" s="145"/>
      <c r="L40" s="85" t="b">
        <v>0</v>
      </c>
      <c r="M40" s="146"/>
      <c r="N40" s="142"/>
      <c r="O40" s="144"/>
      <c r="P40" s="40"/>
    </row>
    <row r="41" ht="15.75" customHeight="1">
      <c r="A41" s="40"/>
      <c r="B41" s="141"/>
      <c r="J41" s="47"/>
      <c r="K41" s="145"/>
      <c r="L41" s="85" t="b">
        <v>0</v>
      </c>
      <c r="M41" s="146"/>
      <c r="N41" s="142"/>
      <c r="O41" s="144"/>
      <c r="P41" s="40"/>
    </row>
    <row r="42" ht="15.75" customHeight="1">
      <c r="A42" s="40"/>
      <c r="B42" s="141"/>
      <c r="J42" s="47"/>
      <c r="K42" s="146"/>
      <c r="L42" s="85" t="b">
        <v>0</v>
      </c>
      <c r="M42" s="146"/>
      <c r="N42" s="142"/>
      <c r="O42" s="144"/>
      <c r="P42" s="40"/>
    </row>
    <row r="43" ht="15.75" customHeight="1">
      <c r="A43" s="40"/>
      <c r="B43" s="141"/>
      <c r="J43" s="47"/>
      <c r="K43" s="145"/>
      <c r="L43" s="143" t="b">
        <v>0</v>
      </c>
      <c r="M43" s="146"/>
      <c r="N43" s="142"/>
      <c r="O43" s="144"/>
      <c r="P43" s="40"/>
    </row>
    <row r="44" ht="15.75" customHeight="1">
      <c r="A44" s="40"/>
      <c r="B44" s="141"/>
      <c r="J44" s="47"/>
      <c r="K44" s="145"/>
      <c r="L44" s="143" t="b">
        <v>0</v>
      </c>
      <c r="M44" s="146"/>
      <c r="N44" s="142"/>
      <c r="O44" s="144"/>
      <c r="P44" s="40"/>
    </row>
    <row r="45" ht="15.75" customHeight="1">
      <c r="A45" s="40"/>
      <c r="B45" s="89"/>
      <c r="C45" s="16"/>
      <c r="D45" s="16"/>
      <c r="E45" s="16"/>
      <c r="F45" s="16"/>
      <c r="G45" s="16"/>
      <c r="H45" s="16"/>
      <c r="I45" s="16"/>
      <c r="J45" s="90"/>
      <c r="K45" s="91"/>
      <c r="L45" s="92" t="b">
        <v>0</v>
      </c>
      <c r="M45" s="93"/>
      <c r="N45" s="94"/>
      <c r="O45" s="95"/>
      <c r="P45" s="40"/>
    </row>
    <row r="46" ht="15.75" customHeight="1">
      <c r="A46" s="40"/>
      <c r="B46" s="96"/>
      <c r="C46" s="96"/>
      <c r="D46" s="96"/>
      <c r="E46" s="96"/>
      <c r="F46" s="96"/>
      <c r="G46" s="96"/>
      <c r="H46" s="96"/>
      <c r="I46" s="1"/>
      <c r="J46" s="101" t="s">
        <v>83</v>
      </c>
      <c r="K46" s="102"/>
      <c r="L46" s="1"/>
      <c r="M46" s="1"/>
      <c r="N46" s="97"/>
      <c r="O46" s="97"/>
      <c r="P46" s="40"/>
    </row>
    <row r="47" ht="15.75" customHeight="1">
      <c r="A47" s="40"/>
      <c r="B47" s="96"/>
      <c r="C47" s="96"/>
      <c r="D47" s="96"/>
      <c r="E47" s="96"/>
      <c r="F47" s="96"/>
      <c r="G47" s="96"/>
      <c r="H47" s="96"/>
      <c r="I47" s="100"/>
      <c r="J47" s="108" t="s">
        <v>63</v>
      </c>
      <c r="K47" s="109"/>
      <c r="L47" s="110"/>
      <c r="M47" s="111" t="s">
        <v>64</v>
      </c>
      <c r="N47" s="109"/>
      <c r="O47" s="102"/>
      <c r="P47" s="40"/>
    </row>
    <row r="48" ht="15.75" customHeight="1">
      <c r="A48" s="40"/>
      <c r="B48" s="98" t="s">
        <v>58</v>
      </c>
      <c r="C48" s="99"/>
      <c r="D48" s="99"/>
      <c r="E48" s="99"/>
      <c r="F48" s="99"/>
      <c r="G48" s="99"/>
      <c r="H48" s="99"/>
      <c r="I48" s="100"/>
      <c r="J48" s="117" t="str">
        <f t="array" ref="J48">GPA({K36:K45,M36:M45,O36:O45},1,2)</f>
        <v>Loading...</v>
      </c>
      <c r="K48" s="118"/>
      <c r="L48" s="110"/>
      <c r="M48" s="119" t="str">
        <f t="array" ref="M48">CREDITSSUM({K36:K45,M36:M45},1,2)</f>
        <v>Loading...</v>
      </c>
      <c r="N48" s="118"/>
      <c r="O48" s="120"/>
      <c r="P48" s="40"/>
    </row>
    <row r="49" ht="15.75" customHeight="1">
      <c r="A49" s="40"/>
      <c r="B49" s="103" t="s">
        <v>60</v>
      </c>
      <c r="C49" s="104" t="s">
        <v>61</v>
      </c>
      <c r="D49" s="105"/>
      <c r="E49" s="106"/>
      <c r="F49" s="104" t="s">
        <v>62</v>
      </c>
      <c r="G49" s="105"/>
      <c r="H49" s="107"/>
      <c r="I49" s="110"/>
      <c r="J49" s="1"/>
      <c r="K49" s="1"/>
      <c r="L49" s="1"/>
      <c r="M49" s="1"/>
      <c r="N49" s="1"/>
      <c r="O49" s="1"/>
      <c r="P49" s="40"/>
    </row>
    <row r="50" ht="15.75" customHeight="1">
      <c r="A50" s="40"/>
      <c r="B50" s="112"/>
      <c r="C50" s="113" t="s">
        <v>65</v>
      </c>
      <c r="D50" s="114" t="s">
        <v>66</v>
      </c>
      <c r="E50" s="115" t="s">
        <v>67</v>
      </c>
      <c r="F50" s="113" t="s">
        <v>65</v>
      </c>
      <c r="G50" s="114" t="s">
        <v>66</v>
      </c>
      <c r="H50" s="116" t="s">
        <v>67</v>
      </c>
      <c r="I50" s="110"/>
      <c r="J50" s="101" t="s">
        <v>59</v>
      </c>
      <c r="K50" s="102"/>
      <c r="L50" s="1"/>
      <c r="M50" s="1"/>
      <c r="N50" s="97"/>
      <c r="O50" s="97"/>
      <c r="P50" s="40"/>
    </row>
    <row r="51" ht="15.75" customHeight="1">
      <c r="A51" s="40"/>
      <c r="B51" s="132" t="s">
        <v>68</v>
      </c>
      <c r="C51" s="122"/>
      <c r="D51" s="84"/>
      <c r="E51" s="123"/>
      <c r="F51" s="86"/>
      <c r="G51" s="84"/>
      <c r="H51" s="124"/>
      <c r="I51" s="110"/>
      <c r="J51" s="108" t="s">
        <v>63</v>
      </c>
      <c r="K51" s="109"/>
      <c r="L51" s="110"/>
      <c r="M51" s="111" t="s">
        <v>64</v>
      </c>
      <c r="N51" s="109"/>
      <c r="O51" s="102"/>
      <c r="P51" s="40"/>
    </row>
    <row r="52" ht="15.75" customHeight="1">
      <c r="A52" s="40"/>
      <c r="B52" s="132" t="s">
        <v>69</v>
      </c>
      <c r="C52" s="122"/>
      <c r="D52" s="84"/>
      <c r="E52" s="123"/>
      <c r="F52" s="86"/>
      <c r="G52" s="84"/>
      <c r="H52" s="124"/>
      <c r="I52" s="110"/>
      <c r="J52" s="117" t="str">
        <f t="array" ref="J52">GPA({K8:K17,M8:M17,O8:O17;K22:K31,M22:M31,O22:O31;K36:K45,M36:M45,O36:O45},1,2)</f>
        <v>Loading...</v>
      </c>
      <c r="K52" s="118"/>
      <c r="L52" s="110"/>
      <c r="M52" s="119" t="str">
        <f t="array" ref="M52">CREDITSSUM({K8:K17,M8:M17;K22:K31,M22:M31;K36:K45,M36:M45},1,2)</f>
        <v>Loading...</v>
      </c>
      <c r="N52" s="118"/>
      <c r="O52" s="120"/>
      <c r="P52" s="40"/>
    </row>
    <row r="53" ht="15.75" customHeight="1">
      <c r="A53" s="40"/>
      <c r="B53" s="121" t="s">
        <v>70</v>
      </c>
      <c r="C53" s="122"/>
      <c r="D53" s="84"/>
      <c r="E53" s="123"/>
      <c r="F53" s="86"/>
      <c r="G53" s="84"/>
      <c r="H53" s="124"/>
      <c r="I53" s="97"/>
      <c r="J53" s="97"/>
      <c r="K53" s="97"/>
      <c r="L53" s="131"/>
      <c r="M53" s="97"/>
      <c r="N53" s="97"/>
      <c r="O53" s="97"/>
      <c r="P53" s="40"/>
    </row>
    <row r="54" ht="15.75" customHeight="1">
      <c r="A54" s="40"/>
      <c r="B54" s="125" t="s">
        <v>71</v>
      </c>
      <c r="C54" s="126"/>
      <c r="D54" s="127"/>
      <c r="E54" s="128"/>
      <c r="F54" s="129"/>
      <c r="G54" s="127"/>
      <c r="H54" s="130"/>
      <c r="I54" s="97"/>
      <c r="J54" s="97"/>
      <c r="K54" s="97"/>
      <c r="L54" s="131"/>
      <c r="M54" s="97"/>
      <c r="N54" s="97"/>
      <c r="O54" s="97"/>
      <c r="P54" s="40"/>
    </row>
    <row r="55" ht="15.75" customHeight="1">
      <c r="A55" s="40"/>
      <c r="B55" s="96"/>
      <c r="C55" s="96"/>
      <c r="D55" s="96"/>
      <c r="E55" s="96"/>
      <c r="F55" s="96"/>
      <c r="G55" s="96"/>
      <c r="H55" s="96"/>
      <c r="I55" s="97"/>
      <c r="J55" s="97"/>
      <c r="K55" s="97"/>
      <c r="L55" s="131"/>
      <c r="M55" s="97"/>
      <c r="N55" s="97"/>
      <c r="O55" s="97"/>
      <c r="P55" s="40"/>
    </row>
    <row r="56" ht="15.75" customHeight="1">
      <c r="A56" s="40"/>
      <c r="B56" s="96"/>
      <c r="C56" s="96"/>
      <c r="D56" s="96"/>
      <c r="E56" s="96"/>
      <c r="F56" s="96"/>
      <c r="G56" s="96"/>
      <c r="H56" s="96"/>
      <c r="I56" s="97"/>
      <c r="J56" s="97"/>
      <c r="K56" s="97"/>
      <c r="L56" s="131"/>
      <c r="M56" s="97"/>
      <c r="N56" s="97"/>
      <c r="O56" s="97"/>
      <c r="P56" s="40"/>
    </row>
  </sheetData>
  <mergeCells count="74">
    <mergeCell ref="B28:J28"/>
    <mergeCell ref="B29:J29"/>
    <mergeCell ref="B30:J30"/>
    <mergeCell ref="B31:J31"/>
    <mergeCell ref="J32:K32"/>
    <mergeCell ref="J33:K33"/>
    <mergeCell ref="J34:K34"/>
    <mergeCell ref="B35:J35"/>
    <mergeCell ref="B36:J36"/>
    <mergeCell ref="B37:J37"/>
    <mergeCell ref="B38:J38"/>
    <mergeCell ref="B39:J39"/>
    <mergeCell ref="B40:J40"/>
    <mergeCell ref="B41:J41"/>
    <mergeCell ref="M47:O47"/>
    <mergeCell ref="M48:O48"/>
    <mergeCell ref="M51:O51"/>
    <mergeCell ref="M52:O52"/>
    <mergeCell ref="B49:B50"/>
    <mergeCell ref="C49:E49"/>
    <mergeCell ref="F49:H49"/>
    <mergeCell ref="J50:K50"/>
    <mergeCell ref="J51:K51"/>
    <mergeCell ref="J52:K52"/>
    <mergeCell ref="B42:J42"/>
    <mergeCell ref="B43:J43"/>
    <mergeCell ref="B44:J44"/>
    <mergeCell ref="B45:J45"/>
    <mergeCell ref="J46:K46"/>
    <mergeCell ref="J47:K47"/>
    <mergeCell ref="J48:K48"/>
    <mergeCell ref="C1:H1"/>
    <mergeCell ref="I1:O1"/>
    <mergeCell ref="C2:E2"/>
    <mergeCell ref="F2:H2"/>
    <mergeCell ref="I2:J2"/>
    <mergeCell ref="K2:O2"/>
    <mergeCell ref="C3:E3"/>
    <mergeCell ref="K3:O3"/>
    <mergeCell ref="F3:H3"/>
    <mergeCell ref="I3:J3"/>
    <mergeCell ref="C4:E4"/>
    <mergeCell ref="F4:H4"/>
    <mergeCell ref="I4:J4"/>
    <mergeCell ref="K4:O4"/>
    <mergeCell ref="C5:E6"/>
    <mergeCell ref="K5:O6"/>
    <mergeCell ref="F5:H6"/>
    <mergeCell ref="I5:J6"/>
    <mergeCell ref="B7:J7"/>
    <mergeCell ref="B8:J8"/>
    <mergeCell ref="B9:J9"/>
    <mergeCell ref="B10:J10"/>
    <mergeCell ref="B11:J11"/>
    <mergeCell ref="J19:K19"/>
    <mergeCell ref="M19:O19"/>
    <mergeCell ref="J20:K20"/>
    <mergeCell ref="M20:O20"/>
    <mergeCell ref="B12:J12"/>
    <mergeCell ref="B13:J13"/>
    <mergeCell ref="B14:J14"/>
    <mergeCell ref="B15:J15"/>
    <mergeCell ref="B16:J16"/>
    <mergeCell ref="B17:J17"/>
    <mergeCell ref="J18:K18"/>
    <mergeCell ref="B21:J21"/>
    <mergeCell ref="B22:J22"/>
    <mergeCell ref="B23:J23"/>
    <mergeCell ref="B24:J24"/>
    <mergeCell ref="B25:J25"/>
    <mergeCell ref="B26:J26"/>
    <mergeCell ref="B27:J27"/>
    <mergeCell ref="M33:O33"/>
    <mergeCell ref="M34:O34"/>
  </mergeCells>
  <dataValidations>
    <dataValidation type="custom" allowBlank="1" showDropDown="1" showInputMessage="1" showErrorMessage="1" prompt="Enter a number" sqref="K8:K15 O8:O17 K22:K30 O22:O31 K36:K44 O36:O45">
      <formula1>ISNUMBER(K8)</formula1>
    </dataValidation>
    <dataValidation type="list" allowBlank="1" showInputMessage="1" showErrorMessage="1" prompt="Click and enter a valid scale from the list of items. The valid scales are Letter, 0-100, 0-4, and None" sqref="B3">
      <formula1>"Letter,0-4,0-100,None"</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8.88"/>
    <col customWidth="1" min="3" max="8" width="6.38"/>
    <col customWidth="1" hidden="1" min="9" max="9" width="18.88"/>
    <col customWidth="1" min="10" max="10" width="18.88"/>
    <col customWidth="1" min="11" max="11" width="6.38"/>
    <col customWidth="1" hidden="1" min="12" max="12" width="18.88"/>
    <col customWidth="1" min="13" max="13" width="6.38"/>
    <col customWidth="1" hidden="1" min="14" max="14" width="6.38"/>
    <col customWidth="1" min="15" max="15" width="6.38"/>
  </cols>
  <sheetData>
    <row r="1" ht="31.5" customHeight="1">
      <c r="A1" s="58"/>
      <c r="B1" s="1"/>
      <c r="C1" s="71" t="s">
        <v>5</v>
      </c>
      <c r="I1" s="58" t="s">
        <v>6</v>
      </c>
      <c r="P1" s="72"/>
    </row>
    <row r="2" ht="15.75" customHeight="1">
      <c r="A2" s="73"/>
      <c r="B2" s="74" t="s">
        <v>50</v>
      </c>
      <c r="C2" s="59" t="s">
        <v>8</v>
      </c>
      <c r="F2" s="60" t="str">
        <f>'Getting Started'!$G$10</f>
        <v/>
      </c>
      <c r="I2" s="59" t="s">
        <v>9</v>
      </c>
      <c r="K2" s="60" t="str">
        <f>'Getting Started'!$I$10</f>
        <v/>
      </c>
      <c r="P2" s="40"/>
    </row>
    <row r="3" ht="15.75" customHeight="1">
      <c r="A3" s="73"/>
      <c r="B3" s="75" t="s">
        <v>51</v>
      </c>
      <c r="C3" s="59" t="s">
        <v>11</v>
      </c>
      <c r="F3" s="61" t="str">
        <f>'Getting Started'!$G$11</f>
        <v/>
      </c>
      <c r="I3" s="59" t="s">
        <v>12</v>
      </c>
      <c r="K3" s="60" t="str">
        <f>'Getting Started'!$I$11</f>
        <v/>
      </c>
      <c r="P3" s="40"/>
    </row>
    <row r="4" ht="31.5" customHeight="1">
      <c r="A4" s="73"/>
      <c r="B4" s="1"/>
      <c r="C4" s="59" t="s">
        <v>13</v>
      </c>
      <c r="F4" s="60" t="str">
        <f>'Getting Started'!$G$12</f>
        <v/>
      </c>
      <c r="I4" s="59" t="s">
        <v>14</v>
      </c>
      <c r="K4" s="60" t="str">
        <f>'Getting Started'!$I$12</f>
        <v/>
      </c>
      <c r="P4" s="40"/>
    </row>
    <row r="5" ht="15.75" customHeight="1">
      <c r="A5" s="73"/>
      <c r="B5" s="1"/>
      <c r="C5" s="59" t="s">
        <v>15</v>
      </c>
      <c r="F5" s="62" t="str">
        <f>'Getting Started'!$G$14</f>
        <v/>
      </c>
      <c r="I5" s="59" t="s">
        <v>16</v>
      </c>
      <c r="K5" s="60" t="str">
        <f>'Getting Started'!$I$14</f>
        <v/>
      </c>
      <c r="P5" s="40"/>
    </row>
    <row r="6" ht="15.75" customHeight="1">
      <c r="A6" s="73"/>
      <c r="B6" s="19" t="s">
        <v>78</v>
      </c>
      <c r="P6" s="40"/>
    </row>
    <row r="7" ht="31.5" customHeight="1">
      <c r="A7" s="40"/>
      <c r="B7" s="76" t="s">
        <v>53</v>
      </c>
      <c r="C7" s="8"/>
      <c r="D7" s="8"/>
      <c r="E7" s="8"/>
      <c r="F7" s="8"/>
      <c r="G7" s="8"/>
      <c r="H7" s="8"/>
      <c r="I7" s="8"/>
      <c r="J7" s="77"/>
      <c r="K7" s="78" t="s">
        <v>54</v>
      </c>
      <c r="L7" s="79" t="s">
        <v>55</v>
      </c>
      <c r="M7" s="80" t="s">
        <v>56</v>
      </c>
      <c r="N7" s="81"/>
      <c r="O7" s="82" t="s">
        <v>57</v>
      </c>
      <c r="P7" s="1"/>
    </row>
    <row r="8" ht="15.75" customHeight="1">
      <c r="A8" s="40"/>
      <c r="B8" s="83"/>
      <c r="J8" s="47"/>
      <c r="K8" s="84"/>
      <c r="L8" s="85"/>
      <c r="M8" s="86"/>
      <c r="N8" s="87"/>
      <c r="O8" s="88"/>
      <c r="P8" s="1"/>
    </row>
    <row r="9" ht="15.75" customHeight="1">
      <c r="A9" s="40"/>
      <c r="B9" s="141"/>
      <c r="J9" s="47"/>
      <c r="K9" s="84"/>
      <c r="L9" s="85" t="b">
        <v>0</v>
      </c>
      <c r="M9" s="86"/>
      <c r="N9" s="142"/>
      <c r="O9" s="88"/>
      <c r="P9" s="40"/>
    </row>
    <row r="10" ht="15.75" customHeight="1">
      <c r="A10" s="40"/>
      <c r="B10" s="141"/>
      <c r="J10" s="47"/>
      <c r="K10" s="84"/>
      <c r="L10" s="143" t="b">
        <v>0</v>
      </c>
      <c r="M10" s="86"/>
      <c r="N10" s="142"/>
      <c r="O10" s="144"/>
      <c r="P10" s="40"/>
    </row>
    <row r="11" ht="15.75" customHeight="1">
      <c r="A11" s="40"/>
      <c r="B11" s="141"/>
      <c r="J11" s="47"/>
      <c r="K11" s="145"/>
      <c r="L11" s="85" t="b">
        <v>0</v>
      </c>
      <c r="M11" s="146"/>
      <c r="N11" s="142"/>
      <c r="O11" s="144"/>
      <c r="P11" s="40"/>
    </row>
    <row r="12" ht="15.75" customHeight="1">
      <c r="A12" s="40"/>
      <c r="B12" s="141"/>
      <c r="J12" s="47"/>
      <c r="K12" s="145"/>
      <c r="L12" s="85" t="b">
        <v>0</v>
      </c>
      <c r="M12" s="146"/>
      <c r="N12" s="142"/>
      <c r="O12" s="144"/>
      <c r="P12" s="40"/>
    </row>
    <row r="13" ht="15.75" customHeight="1">
      <c r="A13" s="40"/>
      <c r="B13" s="141"/>
      <c r="J13" s="47"/>
      <c r="K13" s="145"/>
      <c r="L13" s="85" t="b">
        <v>0</v>
      </c>
      <c r="M13" s="146"/>
      <c r="N13" s="142"/>
      <c r="O13" s="144"/>
      <c r="P13" s="40"/>
    </row>
    <row r="14" ht="15.75" customHeight="1">
      <c r="A14" s="40"/>
      <c r="B14" s="141"/>
      <c r="J14" s="47"/>
      <c r="K14" s="145"/>
      <c r="L14" s="143" t="b">
        <v>0</v>
      </c>
      <c r="M14" s="146"/>
      <c r="N14" s="142"/>
      <c r="O14" s="144"/>
      <c r="P14" s="40"/>
    </row>
    <row r="15" ht="15.75" customHeight="1">
      <c r="A15" s="40"/>
      <c r="B15" s="141"/>
      <c r="J15" s="47"/>
      <c r="K15" s="145"/>
      <c r="L15" s="143" t="b">
        <v>0</v>
      </c>
      <c r="M15" s="146"/>
      <c r="N15" s="142"/>
      <c r="O15" s="144"/>
      <c r="P15" s="40"/>
    </row>
    <row r="16" ht="15.75" customHeight="1">
      <c r="A16" s="40"/>
      <c r="B16" s="141"/>
      <c r="J16" s="47"/>
      <c r="K16" s="145"/>
      <c r="L16" s="143" t="b">
        <v>0</v>
      </c>
      <c r="M16" s="146"/>
      <c r="N16" s="142"/>
      <c r="O16" s="144"/>
      <c r="P16" s="40"/>
    </row>
    <row r="17" ht="15.75" customHeight="1">
      <c r="A17" s="40"/>
      <c r="B17" s="89"/>
      <c r="C17" s="16"/>
      <c r="D17" s="16"/>
      <c r="E17" s="16"/>
      <c r="F17" s="16"/>
      <c r="G17" s="16"/>
      <c r="H17" s="16"/>
      <c r="I17" s="16"/>
      <c r="J17" s="90"/>
      <c r="K17" s="91"/>
      <c r="L17" s="92" t="b">
        <v>0</v>
      </c>
      <c r="M17" s="93"/>
      <c r="N17" s="94"/>
      <c r="O17" s="95"/>
      <c r="P17" s="40"/>
    </row>
    <row r="18" ht="15.75" customHeight="1">
      <c r="A18" s="40"/>
      <c r="B18" s="96"/>
      <c r="C18" s="96"/>
      <c r="D18" s="96"/>
      <c r="E18" s="96"/>
      <c r="F18" s="96"/>
      <c r="G18" s="96"/>
      <c r="H18" s="96"/>
      <c r="I18" s="1"/>
      <c r="J18" s="101" t="s">
        <v>79</v>
      </c>
      <c r="K18" s="102"/>
      <c r="L18" s="1"/>
      <c r="M18" s="1"/>
      <c r="N18" s="97"/>
      <c r="O18" s="97"/>
      <c r="P18" s="40"/>
    </row>
    <row r="19" ht="15.75" customHeight="1">
      <c r="A19" s="40"/>
      <c r="B19" s="96"/>
      <c r="C19" s="96"/>
      <c r="D19" s="96"/>
      <c r="E19" s="96"/>
      <c r="F19" s="96"/>
      <c r="G19" s="96"/>
      <c r="H19" s="96"/>
      <c r="I19" s="100"/>
      <c r="J19" s="108" t="s">
        <v>63</v>
      </c>
      <c r="K19" s="109"/>
      <c r="L19" s="110"/>
      <c r="M19" s="111" t="s">
        <v>64</v>
      </c>
      <c r="N19" s="109"/>
      <c r="O19" s="102"/>
      <c r="P19" s="40"/>
    </row>
    <row r="20" ht="15.75" customHeight="1">
      <c r="A20" s="40"/>
      <c r="B20" s="19" t="s">
        <v>80</v>
      </c>
      <c r="C20" s="150"/>
      <c r="D20" s="150"/>
      <c r="E20" s="150"/>
      <c r="F20" s="150"/>
      <c r="G20" s="150"/>
      <c r="H20" s="150"/>
      <c r="I20" s="100"/>
      <c r="J20" s="117" t="str">
        <f t="array" ref="J20">GPA({K8:K17,M8:M17,O8:O17},1,2)</f>
        <v>Loading...</v>
      </c>
      <c r="K20" s="118"/>
      <c r="L20" s="110"/>
      <c r="M20" s="119" t="str">
        <f t="array" ref="M20">CREDITSSUM({K8:K17,M8:M17},1,2)</f>
        <v>Loading...</v>
      </c>
      <c r="N20" s="118"/>
      <c r="O20" s="120"/>
      <c r="P20" s="40"/>
    </row>
    <row r="21" ht="31.5" customHeight="1">
      <c r="A21" s="40"/>
      <c r="B21" s="76" t="s">
        <v>53</v>
      </c>
      <c r="C21" s="8"/>
      <c r="D21" s="8"/>
      <c r="E21" s="8"/>
      <c r="F21" s="8"/>
      <c r="G21" s="8"/>
      <c r="H21" s="8"/>
      <c r="I21" s="8"/>
      <c r="J21" s="77"/>
      <c r="K21" s="78" t="s">
        <v>54</v>
      </c>
      <c r="L21" s="79" t="s">
        <v>55</v>
      </c>
      <c r="M21" s="80" t="s">
        <v>56</v>
      </c>
      <c r="N21" s="81"/>
      <c r="O21" s="82" t="s">
        <v>57</v>
      </c>
      <c r="P21" s="1"/>
    </row>
    <row r="22" ht="15.75" customHeight="1">
      <c r="A22" s="40"/>
      <c r="B22" s="83"/>
      <c r="J22" s="47"/>
      <c r="K22" s="84"/>
      <c r="L22" s="85"/>
      <c r="M22" s="86"/>
      <c r="N22" s="87"/>
      <c r="O22" s="88"/>
      <c r="P22" s="1"/>
    </row>
    <row r="23" ht="15.75" customHeight="1">
      <c r="A23" s="40"/>
      <c r="B23" s="141"/>
      <c r="J23" s="47"/>
      <c r="K23" s="84"/>
      <c r="L23" s="85" t="b">
        <v>0</v>
      </c>
      <c r="M23" s="86"/>
      <c r="N23" s="142"/>
      <c r="O23" s="88"/>
      <c r="P23" s="40"/>
    </row>
    <row r="24" ht="15.75" customHeight="1">
      <c r="A24" s="40"/>
      <c r="B24" s="141"/>
      <c r="J24" s="47"/>
      <c r="K24" s="84"/>
      <c r="L24" s="143" t="b">
        <v>0</v>
      </c>
      <c r="M24" s="86"/>
      <c r="N24" s="142"/>
      <c r="O24" s="144"/>
      <c r="P24" s="40"/>
    </row>
    <row r="25" ht="15.75" customHeight="1">
      <c r="A25" s="40"/>
      <c r="B25" s="141"/>
      <c r="J25" s="47"/>
      <c r="K25" s="145"/>
      <c r="L25" s="143" t="b">
        <v>0</v>
      </c>
      <c r="M25" s="146"/>
      <c r="N25" s="142"/>
      <c r="O25" s="144"/>
      <c r="P25" s="40"/>
    </row>
    <row r="26" ht="15.75" customHeight="1">
      <c r="A26" s="40"/>
      <c r="B26" s="141"/>
      <c r="J26" s="47"/>
      <c r="K26" s="145"/>
      <c r="L26" s="85" t="b">
        <v>0</v>
      </c>
      <c r="M26" s="146"/>
      <c r="N26" s="142"/>
      <c r="O26" s="144"/>
      <c r="P26" s="40"/>
    </row>
    <row r="27" ht="15.75" customHeight="1">
      <c r="A27" s="40"/>
      <c r="B27" s="141"/>
      <c r="J27" s="47"/>
      <c r="K27" s="145"/>
      <c r="L27" s="85" t="b">
        <v>0</v>
      </c>
      <c r="M27" s="146"/>
      <c r="N27" s="142"/>
      <c r="O27" s="144"/>
      <c r="P27" s="40"/>
    </row>
    <row r="28" ht="15.75" customHeight="1">
      <c r="A28" s="40"/>
      <c r="B28" s="141"/>
      <c r="J28" s="47"/>
      <c r="K28" s="146"/>
      <c r="L28" s="85" t="b">
        <v>0</v>
      </c>
      <c r="M28" s="146"/>
      <c r="N28" s="142"/>
      <c r="O28" s="144"/>
      <c r="P28" s="40"/>
    </row>
    <row r="29" ht="15.75" customHeight="1">
      <c r="A29" s="40"/>
      <c r="B29" s="141"/>
      <c r="J29" s="47"/>
      <c r="K29" s="145"/>
      <c r="L29" s="143" t="b">
        <v>0</v>
      </c>
      <c r="M29" s="146"/>
      <c r="N29" s="142"/>
      <c r="O29" s="144"/>
      <c r="P29" s="40"/>
    </row>
    <row r="30" ht="15.75" customHeight="1">
      <c r="A30" s="40"/>
      <c r="B30" s="141"/>
      <c r="J30" s="47"/>
      <c r="K30" s="145"/>
      <c r="L30" s="143" t="b">
        <v>0</v>
      </c>
      <c r="M30" s="146"/>
      <c r="N30" s="142"/>
      <c r="O30" s="144"/>
      <c r="P30" s="40"/>
    </row>
    <row r="31" ht="15.75" customHeight="1">
      <c r="A31" s="40"/>
      <c r="B31" s="89"/>
      <c r="C31" s="16"/>
      <c r="D31" s="16"/>
      <c r="E31" s="16"/>
      <c r="F31" s="16"/>
      <c r="G31" s="16"/>
      <c r="H31" s="16"/>
      <c r="I31" s="16"/>
      <c r="J31" s="90"/>
      <c r="K31" s="91"/>
      <c r="L31" s="92" t="b">
        <v>0</v>
      </c>
      <c r="M31" s="93"/>
      <c r="N31" s="94"/>
      <c r="O31" s="95"/>
      <c r="P31" s="40"/>
    </row>
    <row r="32" ht="15.75" customHeight="1">
      <c r="A32" s="40"/>
      <c r="B32" s="96"/>
      <c r="C32" s="96"/>
      <c r="D32" s="96"/>
      <c r="E32" s="96"/>
      <c r="F32" s="96"/>
      <c r="G32" s="96"/>
      <c r="H32" s="96"/>
      <c r="I32" s="1"/>
      <c r="J32" s="101" t="s">
        <v>81</v>
      </c>
      <c r="K32" s="102"/>
      <c r="L32" s="1"/>
      <c r="M32" s="1"/>
      <c r="N32" s="97"/>
      <c r="O32" s="97"/>
      <c r="P32" s="40"/>
    </row>
    <row r="33" ht="15.75" customHeight="1">
      <c r="A33" s="40"/>
      <c r="B33" s="96"/>
      <c r="C33" s="96"/>
      <c r="D33" s="96"/>
      <c r="E33" s="96"/>
      <c r="F33" s="96"/>
      <c r="G33" s="96"/>
      <c r="H33" s="96"/>
      <c r="I33" s="100"/>
      <c r="J33" s="108" t="s">
        <v>63</v>
      </c>
      <c r="K33" s="109"/>
      <c r="L33" s="110"/>
      <c r="M33" s="111" t="s">
        <v>64</v>
      </c>
      <c r="N33" s="109"/>
      <c r="O33" s="102"/>
      <c r="P33" s="40"/>
    </row>
    <row r="34" ht="15.75" customHeight="1">
      <c r="A34" s="40"/>
      <c r="B34" s="19" t="s">
        <v>82</v>
      </c>
      <c r="C34" s="150"/>
      <c r="D34" s="150"/>
      <c r="E34" s="150"/>
      <c r="F34" s="150"/>
      <c r="G34" s="150"/>
      <c r="H34" s="150"/>
      <c r="I34" s="100"/>
      <c r="J34" s="117" t="str">
        <f t="array" ref="J34">GPA({K22:K31,M22:M31,O22:O31},1,2)</f>
        <v>Loading...</v>
      </c>
      <c r="K34" s="118"/>
      <c r="L34" s="110"/>
      <c r="M34" s="119" t="str">
        <f t="array" ref="M34">CREDITSSUM({K22:K31,M22:M31},1,2)</f>
        <v>Loading...</v>
      </c>
      <c r="N34" s="118"/>
      <c r="O34" s="120"/>
      <c r="P34" s="40"/>
    </row>
    <row r="35" ht="31.5" customHeight="1">
      <c r="A35" s="40"/>
      <c r="B35" s="76" t="s">
        <v>53</v>
      </c>
      <c r="C35" s="8"/>
      <c r="D35" s="8"/>
      <c r="E35" s="8"/>
      <c r="F35" s="8"/>
      <c r="G35" s="8"/>
      <c r="H35" s="8"/>
      <c r="I35" s="8"/>
      <c r="J35" s="77"/>
      <c r="K35" s="78" t="s">
        <v>54</v>
      </c>
      <c r="L35" s="79" t="s">
        <v>55</v>
      </c>
      <c r="M35" s="80" t="s">
        <v>56</v>
      </c>
      <c r="N35" s="81"/>
      <c r="O35" s="82" t="s">
        <v>57</v>
      </c>
      <c r="P35" s="1"/>
    </row>
    <row r="36" ht="15.75" customHeight="1">
      <c r="A36" s="40"/>
      <c r="B36" s="83"/>
      <c r="J36" s="47"/>
      <c r="K36" s="84"/>
      <c r="L36" s="85"/>
      <c r="M36" s="86"/>
      <c r="N36" s="87"/>
      <c r="O36" s="88"/>
      <c r="P36" s="1"/>
    </row>
    <row r="37" ht="15.75" customHeight="1">
      <c r="A37" s="40"/>
      <c r="B37" s="141"/>
      <c r="J37" s="47"/>
      <c r="K37" s="84"/>
      <c r="L37" s="85" t="b">
        <v>0</v>
      </c>
      <c r="M37" s="86"/>
      <c r="N37" s="142"/>
      <c r="O37" s="88"/>
      <c r="P37" s="40"/>
    </row>
    <row r="38" ht="15.75" customHeight="1">
      <c r="A38" s="40"/>
      <c r="B38" s="141"/>
      <c r="J38" s="47"/>
      <c r="K38" s="84"/>
      <c r="L38" s="143" t="b">
        <v>0</v>
      </c>
      <c r="M38" s="86"/>
      <c r="N38" s="142"/>
      <c r="O38" s="144"/>
      <c r="P38" s="40"/>
    </row>
    <row r="39" ht="15.75" customHeight="1">
      <c r="A39" s="40"/>
      <c r="B39" s="141"/>
      <c r="J39" s="47"/>
      <c r="K39" s="145"/>
      <c r="L39" s="143" t="b">
        <v>0</v>
      </c>
      <c r="M39" s="146"/>
      <c r="N39" s="142"/>
      <c r="O39" s="144"/>
      <c r="P39" s="40"/>
    </row>
    <row r="40" ht="15.75" customHeight="1">
      <c r="A40" s="40"/>
      <c r="B40" s="141"/>
      <c r="J40" s="47"/>
      <c r="K40" s="145"/>
      <c r="L40" s="85" t="b">
        <v>0</v>
      </c>
      <c r="M40" s="146"/>
      <c r="N40" s="142"/>
      <c r="O40" s="144"/>
      <c r="P40" s="40"/>
    </row>
    <row r="41" ht="15.75" customHeight="1">
      <c r="A41" s="40"/>
      <c r="B41" s="141"/>
      <c r="J41" s="47"/>
      <c r="K41" s="145"/>
      <c r="L41" s="85" t="b">
        <v>0</v>
      </c>
      <c r="M41" s="146"/>
      <c r="N41" s="142"/>
      <c r="O41" s="144"/>
      <c r="P41" s="40"/>
    </row>
    <row r="42" ht="15.75" customHeight="1">
      <c r="A42" s="40"/>
      <c r="B42" s="141"/>
      <c r="J42" s="47"/>
      <c r="K42" s="146"/>
      <c r="L42" s="85" t="b">
        <v>0</v>
      </c>
      <c r="M42" s="146"/>
      <c r="N42" s="142"/>
      <c r="O42" s="144"/>
      <c r="P42" s="40"/>
    </row>
    <row r="43" ht="15.75" customHeight="1">
      <c r="A43" s="40"/>
      <c r="B43" s="141"/>
      <c r="J43" s="47"/>
      <c r="K43" s="145"/>
      <c r="L43" s="143" t="b">
        <v>0</v>
      </c>
      <c r="M43" s="146"/>
      <c r="N43" s="142"/>
      <c r="O43" s="144"/>
      <c r="P43" s="40"/>
    </row>
    <row r="44" ht="15.75" customHeight="1">
      <c r="A44" s="40"/>
      <c r="B44" s="141"/>
      <c r="J44" s="47"/>
      <c r="K44" s="145"/>
      <c r="L44" s="143" t="b">
        <v>0</v>
      </c>
      <c r="M44" s="146"/>
      <c r="N44" s="142"/>
      <c r="O44" s="144"/>
      <c r="P44" s="40"/>
    </row>
    <row r="45" ht="15.75" customHeight="1">
      <c r="A45" s="40"/>
      <c r="B45" s="89"/>
      <c r="C45" s="16"/>
      <c r="D45" s="16"/>
      <c r="E45" s="16"/>
      <c r="F45" s="16"/>
      <c r="G45" s="16"/>
      <c r="H45" s="16"/>
      <c r="I45" s="16"/>
      <c r="J45" s="90"/>
      <c r="K45" s="91"/>
      <c r="L45" s="92" t="b">
        <v>0</v>
      </c>
      <c r="M45" s="93"/>
      <c r="N45" s="94"/>
      <c r="O45" s="95"/>
      <c r="P45" s="40"/>
    </row>
    <row r="46" ht="15.75" customHeight="1">
      <c r="A46" s="40"/>
      <c r="B46" s="96"/>
      <c r="C46" s="96"/>
      <c r="D46" s="96"/>
      <c r="E46" s="96"/>
      <c r="F46" s="96"/>
      <c r="G46" s="96"/>
      <c r="H46" s="96"/>
      <c r="I46" s="1"/>
      <c r="J46" s="101" t="s">
        <v>83</v>
      </c>
      <c r="K46" s="102"/>
      <c r="L46" s="1"/>
      <c r="M46" s="1"/>
      <c r="N46" s="97"/>
      <c r="O46" s="97"/>
      <c r="P46" s="40"/>
    </row>
    <row r="47" ht="15.75" customHeight="1">
      <c r="A47" s="40"/>
      <c r="B47" s="96"/>
      <c r="C47" s="96"/>
      <c r="D47" s="96"/>
      <c r="E47" s="96"/>
      <c r="F47" s="96"/>
      <c r="G47" s="96"/>
      <c r="H47" s="96"/>
      <c r="I47" s="100"/>
      <c r="J47" s="108" t="s">
        <v>63</v>
      </c>
      <c r="K47" s="109"/>
      <c r="L47" s="110"/>
      <c r="M47" s="111" t="s">
        <v>64</v>
      </c>
      <c r="N47" s="109"/>
      <c r="O47" s="102"/>
      <c r="P47" s="40"/>
    </row>
    <row r="48" ht="15.75" customHeight="1">
      <c r="A48" s="40"/>
      <c r="B48" s="98" t="s">
        <v>58</v>
      </c>
      <c r="C48" s="99"/>
      <c r="D48" s="99"/>
      <c r="E48" s="99"/>
      <c r="F48" s="99"/>
      <c r="G48" s="99"/>
      <c r="H48" s="99"/>
      <c r="I48" s="100"/>
      <c r="J48" s="117" t="str">
        <f t="array" ref="J48">GPA({K36:K45,M36:M45,O36:O45},1,2)</f>
        <v>Loading...</v>
      </c>
      <c r="K48" s="118"/>
      <c r="L48" s="110"/>
      <c r="M48" s="119" t="str">
        <f t="array" ref="M48">CREDITSSUM({K36:K45,M36:M45},1,2)</f>
        <v>Loading...</v>
      </c>
      <c r="N48" s="118"/>
      <c r="O48" s="120"/>
      <c r="P48" s="40"/>
    </row>
    <row r="49" ht="15.75" customHeight="1">
      <c r="A49" s="40"/>
      <c r="B49" s="103" t="s">
        <v>60</v>
      </c>
      <c r="C49" s="104" t="s">
        <v>61</v>
      </c>
      <c r="D49" s="105"/>
      <c r="E49" s="106"/>
      <c r="F49" s="104" t="s">
        <v>62</v>
      </c>
      <c r="G49" s="105"/>
      <c r="H49" s="107"/>
      <c r="I49" s="110"/>
      <c r="J49" s="1"/>
      <c r="K49" s="1"/>
      <c r="L49" s="1"/>
      <c r="M49" s="1"/>
      <c r="N49" s="1"/>
      <c r="O49" s="1"/>
      <c r="P49" s="40"/>
    </row>
    <row r="50" ht="15.75" customHeight="1">
      <c r="A50" s="40"/>
      <c r="B50" s="112"/>
      <c r="C50" s="113" t="s">
        <v>65</v>
      </c>
      <c r="D50" s="114" t="s">
        <v>66</v>
      </c>
      <c r="E50" s="115" t="s">
        <v>67</v>
      </c>
      <c r="F50" s="113" t="s">
        <v>65</v>
      </c>
      <c r="G50" s="114" t="s">
        <v>66</v>
      </c>
      <c r="H50" s="116" t="s">
        <v>67</v>
      </c>
      <c r="I50" s="110"/>
      <c r="J50" s="101" t="s">
        <v>59</v>
      </c>
      <c r="K50" s="102"/>
      <c r="L50" s="1"/>
      <c r="M50" s="1"/>
      <c r="N50" s="97"/>
      <c r="O50" s="97"/>
      <c r="P50" s="40"/>
    </row>
    <row r="51" ht="15.75" customHeight="1">
      <c r="A51" s="40"/>
      <c r="B51" s="132" t="s">
        <v>68</v>
      </c>
      <c r="C51" s="122"/>
      <c r="D51" s="84"/>
      <c r="E51" s="123"/>
      <c r="F51" s="86"/>
      <c r="G51" s="84"/>
      <c r="H51" s="124"/>
      <c r="I51" s="110"/>
      <c r="J51" s="108" t="s">
        <v>63</v>
      </c>
      <c r="K51" s="109"/>
      <c r="L51" s="110"/>
      <c r="M51" s="111" t="s">
        <v>64</v>
      </c>
      <c r="N51" s="109"/>
      <c r="O51" s="102"/>
      <c r="P51" s="40"/>
    </row>
    <row r="52" ht="15.75" customHeight="1">
      <c r="A52" s="40"/>
      <c r="B52" s="132" t="s">
        <v>69</v>
      </c>
      <c r="C52" s="122"/>
      <c r="D52" s="84"/>
      <c r="E52" s="123"/>
      <c r="F52" s="86"/>
      <c r="G52" s="84"/>
      <c r="H52" s="124"/>
      <c r="I52" s="110"/>
      <c r="J52" s="117" t="str">
        <f t="array" ref="J52">GPA({K8:K17,M8:M17,O8:O17;K22:K31,M22:M31,O22:O31;K36:K45,M36:M45,O36:O45},1,2)</f>
        <v>Loading...</v>
      </c>
      <c r="K52" s="118"/>
      <c r="L52" s="110"/>
      <c r="M52" s="119" t="str">
        <f t="array" ref="M52">CREDITSSUM({K8:K17,M8:M17;K22:K31,M22:M31;K36:K45,M36:M45},1,2)</f>
        <v>Loading...</v>
      </c>
      <c r="N52" s="118"/>
      <c r="O52" s="120"/>
      <c r="P52" s="40"/>
    </row>
    <row r="53" ht="15.75" customHeight="1">
      <c r="A53" s="40"/>
      <c r="B53" s="121" t="s">
        <v>70</v>
      </c>
      <c r="C53" s="122"/>
      <c r="D53" s="84"/>
      <c r="E53" s="123"/>
      <c r="F53" s="86"/>
      <c r="G53" s="84"/>
      <c r="H53" s="124"/>
      <c r="I53" s="97"/>
      <c r="J53" s="97"/>
      <c r="K53" s="97"/>
      <c r="L53" s="131"/>
      <c r="M53" s="97"/>
      <c r="N53" s="97"/>
      <c r="O53" s="97"/>
      <c r="P53" s="40"/>
    </row>
    <row r="54" ht="15.75" customHeight="1">
      <c r="A54" s="40"/>
      <c r="B54" s="125" t="s">
        <v>71</v>
      </c>
      <c r="C54" s="126"/>
      <c r="D54" s="127"/>
      <c r="E54" s="128"/>
      <c r="F54" s="129"/>
      <c r="G54" s="127"/>
      <c r="H54" s="130"/>
      <c r="I54" s="97"/>
      <c r="J54" s="97"/>
      <c r="K54" s="97"/>
      <c r="L54" s="131"/>
      <c r="M54" s="97"/>
      <c r="N54" s="97"/>
      <c r="O54" s="97"/>
      <c r="P54" s="40"/>
    </row>
    <row r="55" ht="15.75" customHeight="1">
      <c r="A55" s="40"/>
      <c r="B55" s="96"/>
      <c r="C55" s="96"/>
      <c r="D55" s="96"/>
      <c r="E55" s="96"/>
      <c r="F55" s="96"/>
      <c r="G55" s="96"/>
      <c r="H55" s="96"/>
      <c r="I55" s="97"/>
      <c r="J55" s="97"/>
      <c r="K55" s="97"/>
      <c r="L55" s="131"/>
      <c r="M55" s="97"/>
      <c r="N55" s="97"/>
      <c r="O55" s="97"/>
      <c r="P55" s="40"/>
    </row>
    <row r="56" ht="15.75" customHeight="1">
      <c r="A56" s="40"/>
      <c r="B56" s="96"/>
      <c r="C56" s="96"/>
      <c r="D56" s="96"/>
      <c r="E56" s="96"/>
      <c r="F56" s="96"/>
      <c r="G56" s="96"/>
      <c r="H56" s="96"/>
      <c r="I56" s="97"/>
      <c r="J56" s="97"/>
      <c r="K56" s="97"/>
      <c r="L56" s="131"/>
      <c r="M56" s="97"/>
      <c r="N56" s="97"/>
      <c r="O56" s="97"/>
      <c r="P56" s="40"/>
    </row>
  </sheetData>
  <mergeCells count="74">
    <mergeCell ref="B28:J28"/>
    <mergeCell ref="B29:J29"/>
    <mergeCell ref="B30:J30"/>
    <mergeCell ref="B31:J31"/>
    <mergeCell ref="J32:K32"/>
    <mergeCell ref="J33:K33"/>
    <mergeCell ref="J34:K34"/>
    <mergeCell ref="B35:J35"/>
    <mergeCell ref="B36:J36"/>
    <mergeCell ref="B37:J37"/>
    <mergeCell ref="B38:J38"/>
    <mergeCell ref="B39:J39"/>
    <mergeCell ref="B40:J40"/>
    <mergeCell ref="B41:J41"/>
    <mergeCell ref="M47:O47"/>
    <mergeCell ref="M48:O48"/>
    <mergeCell ref="M51:O51"/>
    <mergeCell ref="M52:O52"/>
    <mergeCell ref="B49:B50"/>
    <mergeCell ref="C49:E49"/>
    <mergeCell ref="F49:H49"/>
    <mergeCell ref="J50:K50"/>
    <mergeCell ref="J51:K51"/>
    <mergeCell ref="J52:K52"/>
    <mergeCell ref="B42:J42"/>
    <mergeCell ref="B43:J43"/>
    <mergeCell ref="B44:J44"/>
    <mergeCell ref="B45:J45"/>
    <mergeCell ref="J46:K46"/>
    <mergeCell ref="J47:K47"/>
    <mergeCell ref="J48:K48"/>
    <mergeCell ref="C1:H1"/>
    <mergeCell ref="I1:O1"/>
    <mergeCell ref="C2:E2"/>
    <mergeCell ref="F2:H2"/>
    <mergeCell ref="I2:J2"/>
    <mergeCell ref="K2:O2"/>
    <mergeCell ref="C3:E3"/>
    <mergeCell ref="K3:O3"/>
    <mergeCell ref="F3:H3"/>
    <mergeCell ref="I3:J3"/>
    <mergeCell ref="C4:E4"/>
    <mergeCell ref="F4:H4"/>
    <mergeCell ref="I4:J4"/>
    <mergeCell ref="K4:O4"/>
    <mergeCell ref="C5:E6"/>
    <mergeCell ref="K5:O6"/>
    <mergeCell ref="F5:H6"/>
    <mergeCell ref="I5:J6"/>
    <mergeCell ref="B7:J7"/>
    <mergeCell ref="B8:J8"/>
    <mergeCell ref="B9:J9"/>
    <mergeCell ref="B10:J10"/>
    <mergeCell ref="B11:J11"/>
    <mergeCell ref="J19:K19"/>
    <mergeCell ref="M19:O19"/>
    <mergeCell ref="J20:K20"/>
    <mergeCell ref="M20:O20"/>
    <mergeCell ref="B12:J12"/>
    <mergeCell ref="B13:J13"/>
    <mergeCell ref="B14:J14"/>
    <mergeCell ref="B15:J15"/>
    <mergeCell ref="B16:J16"/>
    <mergeCell ref="B17:J17"/>
    <mergeCell ref="J18:K18"/>
    <mergeCell ref="B21:J21"/>
    <mergeCell ref="B22:J22"/>
    <mergeCell ref="B23:J23"/>
    <mergeCell ref="B24:J24"/>
    <mergeCell ref="B25:J25"/>
    <mergeCell ref="B26:J26"/>
    <mergeCell ref="B27:J27"/>
    <mergeCell ref="M33:O33"/>
    <mergeCell ref="M34:O34"/>
  </mergeCells>
  <dataValidations>
    <dataValidation type="custom" allowBlank="1" showDropDown="1" showInputMessage="1" showErrorMessage="1" prompt="Enter a number" sqref="K8:K15 O8:O17 K22:K30 O22:O31 K36:K44 O36:O45">
      <formula1>ISNUMBER(K8)</formula1>
    </dataValidation>
    <dataValidation type="list" allowBlank="1" showInputMessage="1" showErrorMessage="1" prompt="Click and enter a valid scale from the list of items. The valid scales are Letter, 0-100, 0-4, and None" sqref="B3">
      <formula1>"Letter,0-4,0-100,None"</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8.88"/>
    <col customWidth="1" min="3" max="8" width="6.38"/>
    <col customWidth="1" hidden="1" min="9" max="9" width="18.88"/>
    <col customWidth="1" min="10" max="10" width="18.88"/>
    <col customWidth="1" min="11" max="11" width="6.38"/>
    <col customWidth="1" hidden="1" min="12" max="12" width="18.88"/>
    <col customWidth="1" min="13" max="13" width="6.38"/>
    <col customWidth="1" hidden="1" min="14" max="14" width="6.38"/>
    <col customWidth="1" min="15" max="15" width="6.38"/>
  </cols>
  <sheetData>
    <row r="1" ht="31.5" customHeight="1">
      <c r="A1" s="58"/>
      <c r="B1" s="1"/>
      <c r="C1" s="71" t="s">
        <v>5</v>
      </c>
      <c r="I1" s="58" t="s">
        <v>6</v>
      </c>
      <c r="P1" s="72"/>
    </row>
    <row r="2" ht="15.75" customHeight="1">
      <c r="A2" s="73"/>
      <c r="B2" s="74" t="s">
        <v>50</v>
      </c>
      <c r="C2" s="59" t="s">
        <v>8</v>
      </c>
      <c r="F2" s="60" t="str">
        <f>'Getting Started'!$G$10</f>
        <v/>
      </c>
      <c r="I2" s="59" t="s">
        <v>9</v>
      </c>
      <c r="K2" s="60" t="str">
        <f>'Getting Started'!$I$10</f>
        <v/>
      </c>
      <c r="P2" s="40"/>
    </row>
    <row r="3" ht="15.75" customHeight="1">
      <c r="A3" s="73"/>
      <c r="B3" s="75" t="s">
        <v>51</v>
      </c>
      <c r="C3" s="59" t="s">
        <v>11</v>
      </c>
      <c r="F3" s="61" t="str">
        <f>'Getting Started'!$G$11</f>
        <v/>
      </c>
      <c r="I3" s="59" t="s">
        <v>12</v>
      </c>
      <c r="K3" s="60" t="str">
        <f>'Getting Started'!$I$11</f>
        <v/>
      </c>
      <c r="P3" s="40"/>
    </row>
    <row r="4" ht="31.5" customHeight="1">
      <c r="A4" s="73"/>
      <c r="B4" s="1"/>
      <c r="C4" s="59" t="s">
        <v>13</v>
      </c>
      <c r="F4" s="60" t="str">
        <f>'Getting Started'!$G$12</f>
        <v/>
      </c>
      <c r="I4" s="59" t="s">
        <v>14</v>
      </c>
      <c r="K4" s="60" t="str">
        <f>'Getting Started'!$I$12</f>
        <v/>
      </c>
      <c r="P4" s="40"/>
    </row>
    <row r="5" ht="15.75" customHeight="1">
      <c r="A5" s="73"/>
      <c r="B5" s="1"/>
      <c r="C5" s="59" t="s">
        <v>15</v>
      </c>
      <c r="F5" s="62" t="str">
        <f>'Getting Started'!$G$14</f>
        <v/>
      </c>
      <c r="I5" s="59" t="s">
        <v>16</v>
      </c>
      <c r="K5" s="60" t="str">
        <f>'Getting Started'!$I$14</f>
        <v/>
      </c>
      <c r="P5" s="40"/>
    </row>
    <row r="6" ht="15.75" customHeight="1">
      <c r="A6" s="73"/>
      <c r="B6" s="19" t="s">
        <v>78</v>
      </c>
      <c r="P6" s="40"/>
    </row>
    <row r="7" ht="31.5" customHeight="1">
      <c r="A7" s="40"/>
      <c r="B7" s="76" t="s">
        <v>53</v>
      </c>
      <c r="C7" s="8"/>
      <c r="D7" s="8"/>
      <c r="E7" s="8"/>
      <c r="F7" s="8"/>
      <c r="G7" s="8"/>
      <c r="H7" s="8"/>
      <c r="I7" s="8"/>
      <c r="J7" s="77"/>
      <c r="K7" s="78" t="s">
        <v>54</v>
      </c>
      <c r="L7" s="79" t="s">
        <v>55</v>
      </c>
      <c r="M7" s="80" t="s">
        <v>56</v>
      </c>
      <c r="N7" s="81"/>
      <c r="O7" s="82" t="s">
        <v>57</v>
      </c>
      <c r="P7" s="1"/>
    </row>
    <row r="8" ht="15.75" customHeight="1">
      <c r="A8" s="40"/>
      <c r="B8" s="83"/>
      <c r="J8" s="47"/>
      <c r="K8" s="84"/>
      <c r="L8" s="85"/>
      <c r="M8" s="86"/>
      <c r="N8" s="87"/>
      <c r="O8" s="88"/>
      <c r="P8" s="1"/>
    </row>
    <row r="9" ht="15.75" customHeight="1">
      <c r="A9" s="40"/>
      <c r="B9" s="141"/>
      <c r="J9" s="47"/>
      <c r="K9" s="84"/>
      <c r="L9" s="85" t="b">
        <v>0</v>
      </c>
      <c r="M9" s="86"/>
      <c r="N9" s="142"/>
      <c r="O9" s="88"/>
      <c r="P9" s="40"/>
    </row>
    <row r="10" ht="15.75" customHeight="1">
      <c r="A10" s="40"/>
      <c r="B10" s="141"/>
      <c r="J10" s="47"/>
      <c r="K10" s="84"/>
      <c r="L10" s="143" t="b">
        <v>0</v>
      </c>
      <c r="M10" s="86"/>
      <c r="N10" s="142"/>
      <c r="O10" s="144"/>
      <c r="P10" s="40"/>
    </row>
    <row r="11" ht="15.75" customHeight="1">
      <c r="A11" s="40"/>
      <c r="B11" s="141"/>
      <c r="J11" s="47"/>
      <c r="K11" s="145"/>
      <c r="L11" s="85" t="b">
        <v>0</v>
      </c>
      <c r="M11" s="146"/>
      <c r="N11" s="142"/>
      <c r="O11" s="144"/>
      <c r="P11" s="40"/>
    </row>
    <row r="12" ht="15.75" customHeight="1">
      <c r="A12" s="40"/>
      <c r="B12" s="141"/>
      <c r="J12" s="47"/>
      <c r="K12" s="145"/>
      <c r="L12" s="85" t="b">
        <v>0</v>
      </c>
      <c r="M12" s="146"/>
      <c r="N12" s="142"/>
      <c r="O12" s="144"/>
      <c r="P12" s="40"/>
    </row>
    <row r="13" ht="15.75" customHeight="1">
      <c r="A13" s="40"/>
      <c r="B13" s="141"/>
      <c r="J13" s="47"/>
      <c r="K13" s="145"/>
      <c r="L13" s="85" t="b">
        <v>0</v>
      </c>
      <c r="M13" s="146"/>
      <c r="N13" s="142"/>
      <c r="O13" s="144"/>
      <c r="P13" s="40"/>
    </row>
    <row r="14" ht="15.75" customHeight="1">
      <c r="A14" s="40"/>
      <c r="B14" s="141"/>
      <c r="J14" s="47"/>
      <c r="K14" s="145"/>
      <c r="L14" s="143" t="b">
        <v>0</v>
      </c>
      <c r="M14" s="146"/>
      <c r="N14" s="142"/>
      <c r="O14" s="144"/>
      <c r="P14" s="40"/>
    </row>
    <row r="15" ht="15.75" customHeight="1">
      <c r="A15" s="40"/>
      <c r="B15" s="141"/>
      <c r="J15" s="47"/>
      <c r="K15" s="145"/>
      <c r="L15" s="143" t="b">
        <v>0</v>
      </c>
      <c r="M15" s="146"/>
      <c r="N15" s="142"/>
      <c r="O15" s="144"/>
      <c r="P15" s="40"/>
    </row>
    <row r="16" ht="15.75" customHeight="1">
      <c r="A16" s="40"/>
      <c r="B16" s="141"/>
      <c r="J16" s="47"/>
      <c r="K16" s="145"/>
      <c r="L16" s="143" t="b">
        <v>0</v>
      </c>
      <c r="M16" s="146"/>
      <c r="N16" s="142"/>
      <c r="O16" s="144"/>
      <c r="P16" s="40"/>
    </row>
    <row r="17" ht="15.75" customHeight="1">
      <c r="A17" s="40"/>
      <c r="B17" s="89"/>
      <c r="C17" s="16"/>
      <c r="D17" s="16"/>
      <c r="E17" s="16"/>
      <c r="F17" s="16"/>
      <c r="G17" s="16"/>
      <c r="H17" s="16"/>
      <c r="I17" s="16"/>
      <c r="J17" s="90"/>
      <c r="K17" s="91"/>
      <c r="L17" s="92" t="b">
        <v>0</v>
      </c>
      <c r="M17" s="93"/>
      <c r="N17" s="94"/>
      <c r="O17" s="95"/>
      <c r="P17" s="40"/>
    </row>
    <row r="18" ht="15.75" customHeight="1">
      <c r="A18" s="40"/>
      <c r="B18" s="96"/>
      <c r="C18" s="96"/>
      <c r="D18" s="96"/>
      <c r="E18" s="96"/>
      <c r="F18" s="96"/>
      <c r="G18" s="96"/>
      <c r="H18" s="96"/>
      <c r="I18" s="1"/>
      <c r="J18" s="101" t="s">
        <v>79</v>
      </c>
      <c r="K18" s="102"/>
      <c r="L18" s="1"/>
      <c r="M18" s="1"/>
      <c r="N18" s="97"/>
      <c r="O18" s="97"/>
      <c r="P18" s="40"/>
    </row>
    <row r="19" ht="15.75" customHeight="1">
      <c r="A19" s="40"/>
      <c r="B19" s="96"/>
      <c r="C19" s="96"/>
      <c r="D19" s="96"/>
      <c r="E19" s="96"/>
      <c r="F19" s="96"/>
      <c r="G19" s="96"/>
      <c r="H19" s="96"/>
      <c r="I19" s="100"/>
      <c r="J19" s="108" t="s">
        <v>63</v>
      </c>
      <c r="K19" s="109"/>
      <c r="L19" s="110"/>
      <c r="M19" s="111" t="s">
        <v>64</v>
      </c>
      <c r="N19" s="109"/>
      <c r="O19" s="102"/>
      <c r="P19" s="40"/>
    </row>
    <row r="20" ht="15.75" customHeight="1">
      <c r="A20" s="40"/>
      <c r="B20" s="19" t="s">
        <v>80</v>
      </c>
      <c r="C20" s="150"/>
      <c r="D20" s="150"/>
      <c r="E20" s="150"/>
      <c r="F20" s="150"/>
      <c r="G20" s="150"/>
      <c r="H20" s="150"/>
      <c r="I20" s="100"/>
      <c r="J20" s="117" t="str">
        <f t="array" ref="J20">GPA({K8:K17,M8:M17,O8:O17},1,2)</f>
        <v>Loading...</v>
      </c>
      <c r="K20" s="118"/>
      <c r="L20" s="110"/>
      <c r="M20" s="119" t="str">
        <f t="array" ref="M20">CREDITSSUM({K8:K17,M8:M17},1,2)</f>
        <v>Loading...</v>
      </c>
      <c r="N20" s="118"/>
      <c r="O20" s="120"/>
      <c r="P20" s="40"/>
    </row>
    <row r="21" ht="31.5" customHeight="1">
      <c r="A21" s="40"/>
      <c r="B21" s="76" t="s">
        <v>53</v>
      </c>
      <c r="C21" s="8"/>
      <c r="D21" s="8"/>
      <c r="E21" s="8"/>
      <c r="F21" s="8"/>
      <c r="G21" s="8"/>
      <c r="H21" s="8"/>
      <c r="I21" s="8"/>
      <c r="J21" s="77"/>
      <c r="K21" s="78" t="s">
        <v>54</v>
      </c>
      <c r="L21" s="79" t="s">
        <v>55</v>
      </c>
      <c r="M21" s="80" t="s">
        <v>56</v>
      </c>
      <c r="N21" s="81"/>
      <c r="O21" s="82" t="s">
        <v>57</v>
      </c>
      <c r="P21" s="1"/>
    </row>
    <row r="22" ht="15.75" customHeight="1">
      <c r="A22" s="40"/>
      <c r="B22" s="83"/>
      <c r="J22" s="47"/>
      <c r="K22" s="84"/>
      <c r="L22" s="85"/>
      <c r="M22" s="86"/>
      <c r="N22" s="87"/>
      <c r="O22" s="88"/>
      <c r="P22" s="1"/>
    </row>
    <row r="23" ht="15.75" customHeight="1">
      <c r="A23" s="40"/>
      <c r="B23" s="141"/>
      <c r="J23" s="47"/>
      <c r="K23" s="84"/>
      <c r="L23" s="85" t="b">
        <v>0</v>
      </c>
      <c r="M23" s="86"/>
      <c r="N23" s="142"/>
      <c r="O23" s="88"/>
      <c r="P23" s="40"/>
    </row>
    <row r="24" ht="15.75" customHeight="1">
      <c r="A24" s="40"/>
      <c r="B24" s="141"/>
      <c r="J24" s="47"/>
      <c r="K24" s="84"/>
      <c r="L24" s="143" t="b">
        <v>0</v>
      </c>
      <c r="M24" s="86"/>
      <c r="N24" s="142"/>
      <c r="O24" s="144"/>
      <c r="P24" s="40"/>
    </row>
    <row r="25" ht="15.75" customHeight="1">
      <c r="A25" s="40"/>
      <c r="B25" s="141"/>
      <c r="J25" s="47"/>
      <c r="K25" s="145"/>
      <c r="L25" s="143" t="b">
        <v>0</v>
      </c>
      <c r="M25" s="146"/>
      <c r="N25" s="142"/>
      <c r="O25" s="144"/>
      <c r="P25" s="40"/>
    </row>
    <row r="26" ht="15.75" customHeight="1">
      <c r="A26" s="40"/>
      <c r="B26" s="141"/>
      <c r="J26" s="47"/>
      <c r="K26" s="145"/>
      <c r="L26" s="85" t="b">
        <v>0</v>
      </c>
      <c r="M26" s="146"/>
      <c r="N26" s="142"/>
      <c r="O26" s="144"/>
      <c r="P26" s="40"/>
    </row>
    <row r="27" ht="15.75" customHeight="1">
      <c r="A27" s="40"/>
      <c r="B27" s="141"/>
      <c r="J27" s="47"/>
      <c r="K27" s="145"/>
      <c r="L27" s="85" t="b">
        <v>0</v>
      </c>
      <c r="M27" s="146"/>
      <c r="N27" s="142"/>
      <c r="O27" s="144"/>
      <c r="P27" s="40"/>
    </row>
    <row r="28" ht="15.75" customHeight="1">
      <c r="A28" s="40"/>
      <c r="B28" s="141"/>
      <c r="J28" s="47"/>
      <c r="K28" s="146"/>
      <c r="L28" s="85" t="b">
        <v>0</v>
      </c>
      <c r="M28" s="146"/>
      <c r="N28" s="142"/>
      <c r="O28" s="144"/>
      <c r="P28" s="40"/>
    </row>
    <row r="29" ht="15.75" customHeight="1">
      <c r="A29" s="40"/>
      <c r="B29" s="141"/>
      <c r="J29" s="47"/>
      <c r="K29" s="145"/>
      <c r="L29" s="143" t="b">
        <v>0</v>
      </c>
      <c r="M29" s="146"/>
      <c r="N29" s="142"/>
      <c r="O29" s="144"/>
      <c r="P29" s="40"/>
    </row>
    <row r="30" ht="15.75" customHeight="1">
      <c r="A30" s="40"/>
      <c r="B30" s="141"/>
      <c r="J30" s="47"/>
      <c r="K30" s="145"/>
      <c r="L30" s="143" t="b">
        <v>0</v>
      </c>
      <c r="M30" s="146"/>
      <c r="N30" s="142"/>
      <c r="O30" s="144"/>
      <c r="P30" s="40"/>
    </row>
    <row r="31" ht="15.75" customHeight="1">
      <c r="A31" s="40"/>
      <c r="B31" s="89"/>
      <c r="C31" s="16"/>
      <c r="D31" s="16"/>
      <c r="E31" s="16"/>
      <c r="F31" s="16"/>
      <c r="G31" s="16"/>
      <c r="H31" s="16"/>
      <c r="I31" s="16"/>
      <c r="J31" s="90"/>
      <c r="K31" s="91"/>
      <c r="L31" s="92" t="b">
        <v>0</v>
      </c>
      <c r="M31" s="93"/>
      <c r="N31" s="94"/>
      <c r="O31" s="95"/>
      <c r="P31" s="40"/>
    </row>
    <row r="32" ht="15.75" customHeight="1">
      <c r="A32" s="40"/>
      <c r="B32" s="96"/>
      <c r="C32" s="96"/>
      <c r="D32" s="96"/>
      <c r="E32" s="96"/>
      <c r="F32" s="96"/>
      <c r="G32" s="96"/>
      <c r="H32" s="96"/>
      <c r="I32" s="1"/>
      <c r="J32" s="101" t="s">
        <v>81</v>
      </c>
      <c r="K32" s="102"/>
      <c r="L32" s="1"/>
      <c r="M32" s="1"/>
      <c r="N32" s="97"/>
      <c r="O32" s="97"/>
      <c r="P32" s="40"/>
    </row>
    <row r="33" ht="15.75" customHeight="1">
      <c r="A33" s="40"/>
      <c r="B33" s="96"/>
      <c r="C33" s="96"/>
      <c r="D33" s="96"/>
      <c r="E33" s="96"/>
      <c r="F33" s="96"/>
      <c r="G33" s="96"/>
      <c r="H33" s="96"/>
      <c r="I33" s="100"/>
      <c r="J33" s="108" t="s">
        <v>63</v>
      </c>
      <c r="K33" s="109"/>
      <c r="L33" s="110"/>
      <c r="M33" s="111" t="s">
        <v>64</v>
      </c>
      <c r="N33" s="109"/>
      <c r="O33" s="102"/>
      <c r="P33" s="40"/>
    </row>
    <row r="34" ht="15.75" customHeight="1">
      <c r="A34" s="40"/>
      <c r="B34" s="19" t="s">
        <v>82</v>
      </c>
      <c r="C34" s="150"/>
      <c r="D34" s="150"/>
      <c r="E34" s="150"/>
      <c r="F34" s="150"/>
      <c r="G34" s="150"/>
      <c r="H34" s="150"/>
      <c r="I34" s="100"/>
      <c r="J34" s="117" t="str">
        <f t="array" ref="J34">GPA({K22:K31,M22:M31,O22:O31},1,2)</f>
        <v>Loading...</v>
      </c>
      <c r="K34" s="118"/>
      <c r="L34" s="110"/>
      <c r="M34" s="119" t="str">
        <f t="array" ref="M34">CREDITSSUM({K22:K31,M22:M31},1,2)</f>
        <v>Loading...</v>
      </c>
      <c r="N34" s="118"/>
      <c r="O34" s="120"/>
      <c r="P34" s="40"/>
    </row>
    <row r="35" ht="31.5" customHeight="1">
      <c r="A35" s="40"/>
      <c r="B35" s="76" t="s">
        <v>53</v>
      </c>
      <c r="C35" s="8"/>
      <c r="D35" s="8"/>
      <c r="E35" s="8"/>
      <c r="F35" s="8"/>
      <c r="G35" s="8"/>
      <c r="H35" s="8"/>
      <c r="I35" s="8"/>
      <c r="J35" s="77"/>
      <c r="K35" s="78" t="s">
        <v>54</v>
      </c>
      <c r="L35" s="79" t="s">
        <v>55</v>
      </c>
      <c r="M35" s="80" t="s">
        <v>56</v>
      </c>
      <c r="N35" s="81"/>
      <c r="O35" s="82" t="s">
        <v>57</v>
      </c>
      <c r="P35" s="1"/>
    </row>
    <row r="36" ht="15.75" customHeight="1">
      <c r="A36" s="40"/>
      <c r="B36" s="83"/>
      <c r="J36" s="47"/>
      <c r="K36" s="84"/>
      <c r="L36" s="85"/>
      <c r="M36" s="86"/>
      <c r="N36" s="87"/>
      <c r="O36" s="88"/>
      <c r="P36" s="1"/>
    </row>
    <row r="37" ht="15.75" customHeight="1">
      <c r="A37" s="40"/>
      <c r="B37" s="141"/>
      <c r="J37" s="47"/>
      <c r="K37" s="84"/>
      <c r="L37" s="85" t="b">
        <v>0</v>
      </c>
      <c r="M37" s="86"/>
      <c r="N37" s="142"/>
      <c r="O37" s="88"/>
      <c r="P37" s="40"/>
    </row>
    <row r="38" ht="15.75" customHeight="1">
      <c r="A38" s="40"/>
      <c r="B38" s="141"/>
      <c r="J38" s="47"/>
      <c r="K38" s="84"/>
      <c r="L38" s="143" t="b">
        <v>0</v>
      </c>
      <c r="M38" s="86"/>
      <c r="N38" s="142"/>
      <c r="O38" s="144"/>
      <c r="P38" s="40"/>
    </row>
    <row r="39" ht="15.75" customHeight="1">
      <c r="A39" s="40"/>
      <c r="B39" s="141"/>
      <c r="J39" s="47"/>
      <c r="K39" s="145"/>
      <c r="L39" s="143" t="b">
        <v>0</v>
      </c>
      <c r="M39" s="146"/>
      <c r="N39" s="142"/>
      <c r="O39" s="144"/>
      <c r="P39" s="40"/>
    </row>
    <row r="40" ht="15.75" customHeight="1">
      <c r="A40" s="40"/>
      <c r="B40" s="141"/>
      <c r="J40" s="47"/>
      <c r="K40" s="145"/>
      <c r="L40" s="85" t="b">
        <v>0</v>
      </c>
      <c r="M40" s="146"/>
      <c r="N40" s="142"/>
      <c r="O40" s="144"/>
      <c r="P40" s="40"/>
    </row>
    <row r="41" ht="15.75" customHeight="1">
      <c r="A41" s="40"/>
      <c r="B41" s="141"/>
      <c r="J41" s="47"/>
      <c r="K41" s="145"/>
      <c r="L41" s="85" t="b">
        <v>0</v>
      </c>
      <c r="M41" s="146"/>
      <c r="N41" s="142"/>
      <c r="O41" s="144"/>
      <c r="P41" s="40"/>
    </row>
    <row r="42" ht="15.75" customHeight="1">
      <c r="A42" s="40"/>
      <c r="B42" s="141"/>
      <c r="J42" s="47"/>
      <c r="K42" s="146"/>
      <c r="L42" s="85" t="b">
        <v>0</v>
      </c>
      <c r="M42" s="146"/>
      <c r="N42" s="142"/>
      <c r="O42" s="144"/>
      <c r="P42" s="40"/>
    </row>
    <row r="43" ht="15.75" customHeight="1">
      <c r="A43" s="40"/>
      <c r="B43" s="141"/>
      <c r="J43" s="47"/>
      <c r="K43" s="145"/>
      <c r="L43" s="143" t="b">
        <v>0</v>
      </c>
      <c r="M43" s="146"/>
      <c r="N43" s="142"/>
      <c r="O43" s="144"/>
      <c r="P43" s="40"/>
    </row>
    <row r="44" ht="15.75" customHeight="1">
      <c r="A44" s="40"/>
      <c r="B44" s="141"/>
      <c r="J44" s="47"/>
      <c r="K44" s="145"/>
      <c r="L44" s="143" t="b">
        <v>0</v>
      </c>
      <c r="M44" s="146"/>
      <c r="N44" s="142"/>
      <c r="O44" s="144"/>
      <c r="P44" s="40"/>
    </row>
    <row r="45" ht="15.75" customHeight="1">
      <c r="A45" s="40"/>
      <c r="B45" s="89"/>
      <c r="C45" s="16"/>
      <c r="D45" s="16"/>
      <c r="E45" s="16"/>
      <c r="F45" s="16"/>
      <c r="G45" s="16"/>
      <c r="H45" s="16"/>
      <c r="I45" s="16"/>
      <c r="J45" s="90"/>
      <c r="K45" s="91"/>
      <c r="L45" s="92" t="b">
        <v>0</v>
      </c>
      <c r="M45" s="93"/>
      <c r="N45" s="94"/>
      <c r="O45" s="95"/>
      <c r="P45" s="40"/>
    </row>
    <row r="46" ht="15.75" customHeight="1">
      <c r="A46" s="40"/>
      <c r="B46" s="96"/>
      <c r="C46" s="96"/>
      <c r="D46" s="96"/>
      <c r="E46" s="96"/>
      <c r="F46" s="96"/>
      <c r="G46" s="96"/>
      <c r="H46" s="96"/>
      <c r="I46" s="1"/>
      <c r="J46" s="101" t="s">
        <v>83</v>
      </c>
      <c r="K46" s="102"/>
      <c r="L46" s="1"/>
      <c r="M46" s="1"/>
      <c r="N46" s="97"/>
      <c r="O46" s="97"/>
      <c r="P46" s="40"/>
    </row>
    <row r="47" ht="15.75" customHeight="1">
      <c r="A47" s="40"/>
      <c r="B47" s="96"/>
      <c r="C47" s="96"/>
      <c r="D47" s="96"/>
      <c r="E47" s="96"/>
      <c r="F47" s="96"/>
      <c r="G47" s="96"/>
      <c r="H47" s="96"/>
      <c r="I47" s="100"/>
      <c r="J47" s="108" t="s">
        <v>63</v>
      </c>
      <c r="K47" s="109"/>
      <c r="L47" s="110"/>
      <c r="M47" s="111" t="s">
        <v>64</v>
      </c>
      <c r="N47" s="109"/>
      <c r="O47" s="102"/>
      <c r="P47" s="40"/>
    </row>
    <row r="48" ht="15.75" customHeight="1">
      <c r="A48" s="40"/>
      <c r="B48" s="98" t="s">
        <v>58</v>
      </c>
      <c r="C48" s="99"/>
      <c r="D48" s="99"/>
      <c r="E48" s="99"/>
      <c r="F48" s="99"/>
      <c r="G48" s="99"/>
      <c r="H48" s="99"/>
      <c r="I48" s="100"/>
      <c r="J48" s="117" t="str">
        <f t="array" ref="J48">GPA({K36:K45,M36:M45,O36:O45},1,2)</f>
        <v>Loading...</v>
      </c>
      <c r="K48" s="118"/>
      <c r="L48" s="110"/>
      <c r="M48" s="119" t="str">
        <f t="array" ref="M48">CREDITSSUM({K36:K45,M36:M45},1,2)</f>
        <v>Loading...</v>
      </c>
      <c r="N48" s="118"/>
      <c r="O48" s="120"/>
      <c r="P48" s="40"/>
    </row>
    <row r="49" ht="15.75" customHeight="1">
      <c r="A49" s="40"/>
      <c r="B49" s="103" t="s">
        <v>60</v>
      </c>
      <c r="C49" s="104" t="s">
        <v>61</v>
      </c>
      <c r="D49" s="105"/>
      <c r="E49" s="106"/>
      <c r="F49" s="104" t="s">
        <v>62</v>
      </c>
      <c r="G49" s="105"/>
      <c r="H49" s="107"/>
      <c r="I49" s="110"/>
      <c r="J49" s="1"/>
      <c r="K49" s="1"/>
      <c r="L49" s="1"/>
      <c r="M49" s="1"/>
      <c r="N49" s="1"/>
      <c r="O49" s="1"/>
      <c r="P49" s="40"/>
    </row>
    <row r="50" ht="15.75" customHeight="1">
      <c r="A50" s="40"/>
      <c r="B50" s="112"/>
      <c r="C50" s="113" t="s">
        <v>65</v>
      </c>
      <c r="D50" s="114" t="s">
        <v>66</v>
      </c>
      <c r="E50" s="115" t="s">
        <v>67</v>
      </c>
      <c r="F50" s="113" t="s">
        <v>65</v>
      </c>
      <c r="G50" s="114" t="s">
        <v>66</v>
      </c>
      <c r="H50" s="116" t="s">
        <v>67</v>
      </c>
      <c r="I50" s="110"/>
      <c r="J50" s="101" t="s">
        <v>59</v>
      </c>
      <c r="K50" s="102"/>
      <c r="L50" s="1"/>
      <c r="M50" s="1"/>
      <c r="N50" s="97"/>
      <c r="O50" s="97"/>
      <c r="P50" s="40"/>
    </row>
    <row r="51" ht="15.75" customHeight="1">
      <c r="A51" s="40"/>
      <c r="B51" s="132" t="s">
        <v>68</v>
      </c>
      <c r="C51" s="122"/>
      <c r="D51" s="84"/>
      <c r="E51" s="123"/>
      <c r="F51" s="86"/>
      <c r="G51" s="84"/>
      <c r="H51" s="124"/>
      <c r="I51" s="110"/>
      <c r="J51" s="108" t="s">
        <v>63</v>
      </c>
      <c r="K51" s="109"/>
      <c r="L51" s="110"/>
      <c r="M51" s="111" t="s">
        <v>64</v>
      </c>
      <c r="N51" s="109"/>
      <c r="O51" s="102"/>
      <c r="P51" s="40"/>
    </row>
    <row r="52" ht="15.75" customHeight="1">
      <c r="A52" s="40"/>
      <c r="B52" s="132" t="s">
        <v>69</v>
      </c>
      <c r="C52" s="122"/>
      <c r="D52" s="84"/>
      <c r="E52" s="123"/>
      <c r="F52" s="86"/>
      <c r="G52" s="84"/>
      <c r="H52" s="124"/>
      <c r="I52" s="110"/>
      <c r="J52" s="117" t="str">
        <f t="array" ref="J52">GPA({K8:K17,M8:M17,O8:O17;K22:K31,M22:M31,O22:O31;K36:K45,M36:M45,O36:O45},1,2)</f>
        <v>Loading...</v>
      </c>
      <c r="K52" s="118"/>
      <c r="L52" s="110"/>
      <c r="M52" s="119" t="str">
        <f t="array" ref="M52">CREDITSSUM({K8:K17,M8:M17;K22:K31,M22:M31;K36:K45,M36:M45},1,2)</f>
        <v>Loading...</v>
      </c>
      <c r="N52" s="118"/>
      <c r="O52" s="120"/>
      <c r="P52" s="40"/>
    </row>
    <row r="53" ht="15.75" customHeight="1">
      <c r="A53" s="40"/>
      <c r="B53" s="121" t="s">
        <v>70</v>
      </c>
      <c r="C53" s="122"/>
      <c r="D53" s="84"/>
      <c r="E53" s="123"/>
      <c r="F53" s="86"/>
      <c r="G53" s="84"/>
      <c r="H53" s="124"/>
      <c r="I53" s="97"/>
      <c r="J53" s="97"/>
      <c r="K53" s="97"/>
      <c r="L53" s="131"/>
      <c r="M53" s="97"/>
      <c r="N53" s="97"/>
      <c r="O53" s="97"/>
      <c r="P53" s="40"/>
    </row>
    <row r="54" ht="15.75" customHeight="1">
      <c r="A54" s="40"/>
      <c r="B54" s="125" t="s">
        <v>71</v>
      </c>
      <c r="C54" s="126"/>
      <c r="D54" s="127"/>
      <c r="E54" s="128"/>
      <c r="F54" s="129"/>
      <c r="G54" s="127"/>
      <c r="H54" s="130"/>
      <c r="I54" s="97"/>
      <c r="J54" s="97"/>
      <c r="K54" s="97"/>
      <c r="L54" s="131"/>
      <c r="M54" s="97"/>
      <c r="N54" s="97"/>
      <c r="O54" s="97"/>
      <c r="P54" s="40"/>
    </row>
    <row r="55" ht="15.75" customHeight="1">
      <c r="A55" s="40"/>
      <c r="B55" s="96"/>
      <c r="C55" s="96"/>
      <c r="D55" s="96"/>
      <c r="E55" s="96"/>
      <c r="F55" s="96"/>
      <c r="G55" s="96"/>
      <c r="H55" s="96"/>
      <c r="I55" s="97"/>
      <c r="J55" s="97"/>
      <c r="K55" s="97"/>
      <c r="L55" s="131"/>
      <c r="M55" s="97"/>
      <c r="N55" s="97"/>
      <c r="O55" s="97"/>
      <c r="P55" s="40"/>
    </row>
    <row r="56" ht="15.75" customHeight="1">
      <c r="A56" s="40"/>
      <c r="B56" s="96"/>
      <c r="C56" s="96"/>
      <c r="D56" s="96"/>
      <c r="E56" s="96"/>
      <c r="F56" s="96"/>
      <c r="G56" s="96"/>
      <c r="H56" s="96"/>
      <c r="I56" s="97"/>
      <c r="J56" s="97"/>
      <c r="K56" s="97"/>
      <c r="L56" s="131"/>
      <c r="M56" s="97"/>
      <c r="N56" s="97"/>
      <c r="O56" s="97"/>
      <c r="P56" s="40"/>
    </row>
  </sheetData>
  <mergeCells count="74">
    <mergeCell ref="B28:J28"/>
    <mergeCell ref="B29:J29"/>
    <mergeCell ref="B30:J30"/>
    <mergeCell ref="B31:J31"/>
    <mergeCell ref="J32:K32"/>
    <mergeCell ref="J33:K33"/>
    <mergeCell ref="J34:K34"/>
    <mergeCell ref="B35:J35"/>
    <mergeCell ref="B36:J36"/>
    <mergeCell ref="B37:J37"/>
    <mergeCell ref="B38:J38"/>
    <mergeCell ref="B39:J39"/>
    <mergeCell ref="B40:J40"/>
    <mergeCell ref="B41:J41"/>
    <mergeCell ref="M47:O47"/>
    <mergeCell ref="M48:O48"/>
    <mergeCell ref="M51:O51"/>
    <mergeCell ref="M52:O52"/>
    <mergeCell ref="B49:B50"/>
    <mergeCell ref="C49:E49"/>
    <mergeCell ref="F49:H49"/>
    <mergeCell ref="J50:K50"/>
    <mergeCell ref="J51:K51"/>
    <mergeCell ref="J52:K52"/>
    <mergeCell ref="B42:J42"/>
    <mergeCell ref="B43:J43"/>
    <mergeCell ref="B44:J44"/>
    <mergeCell ref="B45:J45"/>
    <mergeCell ref="J46:K46"/>
    <mergeCell ref="J47:K47"/>
    <mergeCell ref="J48:K48"/>
    <mergeCell ref="C1:H1"/>
    <mergeCell ref="I1:O1"/>
    <mergeCell ref="C2:E2"/>
    <mergeCell ref="F2:H2"/>
    <mergeCell ref="I2:J2"/>
    <mergeCell ref="K2:O2"/>
    <mergeCell ref="C3:E3"/>
    <mergeCell ref="K3:O3"/>
    <mergeCell ref="F3:H3"/>
    <mergeCell ref="I3:J3"/>
    <mergeCell ref="C4:E4"/>
    <mergeCell ref="F4:H4"/>
    <mergeCell ref="I4:J4"/>
    <mergeCell ref="K4:O4"/>
    <mergeCell ref="C5:E6"/>
    <mergeCell ref="K5:O6"/>
    <mergeCell ref="F5:H6"/>
    <mergeCell ref="I5:J6"/>
    <mergeCell ref="B7:J7"/>
    <mergeCell ref="B8:J8"/>
    <mergeCell ref="B9:J9"/>
    <mergeCell ref="B10:J10"/>
    <mergeCell ref="B11:J11"/>
    <mergeCell ref="J19:K19"/>
    <mergeCell ref="M19:O19"/>
    <mergeCell ref="J20:K20"/>
    <mergeCell ref="M20:O20"/>
    <mergeCell ref="B12:J12"/>
    <mergeCell ref="B13:J13"/>
    <mergeCell ref="B14:J14"/>
    <mergeCell ref="B15:J15"/>
    <mergeCell ref="B16:J16"/>
    <mergeCell ref="B17:J17"/>
    <mergeCell ref="J18:K18"/>
    <mergeCell ref="B21:J21"/>
    <mergeCell ref="B22:J22"/>
    <mergeCell ref="B23:J23"/>
    <mergeCell ref="B24:J24"/>
    <mergeCell ref="B25:J25"/>
    <mergeCell ref="B26:J26"/>
    <mergeCell ref="B27:J27"/>
    <mergeCell ref="M33:O33"/>
    <mergeCell ref="M34:O34"/>
  </mergeCells>
  <dataValidations>
    <dataValidation type="custom" allowBlank="1" showDropDown="1" showInputMessage="1" showErrorMessage="1" prompt="Enter a number" sqref="K8:K15 O8:O17 K22:K30 O22:O31 K36:K44 O36:O45">
      <formula1>ISNUMBER(K8)</formula1>
    </dataValidation>
    <dataValidation type="list" allowBlank="1" showInputMessage="1" showErrorMessage="1" prompt="Click and enter a valid scale from the list of items. The valid scales are Letter, 0-100, 0-4, and None" sqref="B3">
      <formula1>"Letter,0-4,0-100,None"</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8.88"/>
    <col customWidth="1" min="3" max="8" width="6.38"/>
    <col customWidth="1" hidden="1" min="9" max="9" width="18.88"/>
    <col customWidth="1" min="10" max="10" width="18.88"/>
    <col customWidth="1" min="11" max="11" width="6.38"/>
    <col customWidth="1" hidden="1" min="12" max="12" width="18.88"/>
    <col customWidth="1" min="13" max="13" width="6.38"/>
    <col customWidth="1" hidden="1" min="14" max="14" width="6.38"/>
    <col customWidth="1" min="15" max="15" width="6.38"/>
  </cols>
  <sheetData>
    <row r="1" ht="31.5" customHeight="1">
      <c r="A1" s="58"/>
      <c r="B1" s="1"/>
      <c r="C1" s="71" t="s">
        <v>5</v>
      </c>
      <c r="I1" s="58" t="s">
        <v>6</v>
      </c>
      <c r="P1" s="72"/>
    </row>
    <row r="2" ht="15.75" customHeight="1">
      <c r="A2" s="73"/>
      <c r="B2" s="74" t="s">
        <v>50</v>
      </c>
      <c r="C2" s="59" t="s">
        <v>8</v>
      </c>
      <c r="F2" s="60" t="str">
        <f>'Getting Started'!$G$10</f>
        <v/>
      </c>
      <c r="I2" s="59" t="s">
        <v>9</v>
      </c>
      <c r="K2" s="60" t="str">
        <f>'Getting Started'!$I$10</f>
        <v/>
      </c>
      <c r="P2" s="40"/>
    </row>
    <row r="3" ht="15.75" customHeight="1">
      <c r="A3" s="73"/>
      <c r="B3" s="75" t="s">
        <v>51</v>
      </c>
      <c r="C3" s="59" t="s">
        <v>11</v>
      </c>
      <c r="F3" s="61" t="str">
        <f>'Getting Started'!$G$11</f>
        <v/>
      </c>
      <c r="I3" s="59" t="s">
        <v>12</v>
      </c>
      <c r="K3" s="60" t="str">
        <f>'Getting Started'!$I$11</f>
        <v/>
      </c>
      <c r="P3" s="40"/>
    </row>
    <row r="4" ht="31.5" customHeight="1">
      <c r="A4" s="73"/>
      <c r="B4" s="1"/>
      <c r="C4" s="59" t="s">
        <v>13</v>
      </c>
      <c r="F4" s="60" t="str">
        <f>'Getting Started'!$G$12</f>
        <v/>
      </c>
      <c r="I4" s="59" t="s">
        <v>14</v>
      </c>
      <c r="K4" s="60" t="str">
        <f>'Getting Started'!$I$12</f>
        <v/>
      </c>
      <c r="P4" s="40"/>
    </row>
    <row r="5" ht="15.75" customHeight="1">
      <c r="A5" s="73"/>
      <c r="B5" s="1"/>
      <c r="C5" s="59" t="s">
        <v>15</v>
      </c>
      <c r="F5" s="62" t="str">
        <f>'Getting Started'!$G$14</f>
        <v/>
      </c>
      <c r="I5" s="59" t="s">
        <v>16</v>
      </c>
      <c r="K5" s="60" t="str">
        <f>'Getting Started'!$I$14</f>
        <v/>
      </c>
      <c r="P5" s="40"/>
    </row>
    <row r="6" ht="15.75" customHeight="1">
      <c r="A6" s="73"/>
      <c r="B6" s="19" t="s">
        <v>78</v>
      </c>
      <c r="P6" s="40"/>
    </row>
    <row r="7" ht="31.5" customHeight="1">
      <c r="A7" s="40"/>
      <c r="B7" s="76" t="s">
        <v>53</v>
      </c>
      <c r="C7" s="8"/>
      <c r="D7" s="8"/>
      <c r="E7" s="8"/>
      <c r="F7" s="8"/>
      <c r="G7" s="8"/>
      <c r="H7" s="8"/>
      <c r="I7" s="8"/>
      <c r="J7" s="77"/>
      <c r="K7" s="78" t="s">
        <v>54</v>
      </c>
      <c r="L7" s="79" t="s">
        <v>55</v>
      </c>
      <c r="M7" s="80" t="s">
        <v>56</v>
      </c>
      <c r="N7" s="81"/>
      <c r="O7" s="82" t="s">
        <v>57</v>
      </c>
      <c r="P7" s="1"/>
    </row>
    <row r="8" ht="15.75" customHeight="1">
      <c r="A8" s="40"/>
      <c r="B8" s="83"/>
      <c r="J8" s="47"/>
      <c r="K8" s="84"/>
      <c r="L8" s="85"/>
      <c r="M8" s="86"/>
      <c r="N8" s="87"/>
      <c r="O8" s="88"/>
      <c r="P8" s="1"/>
    </row>
    <row r="9" ht="15.75" customHeight="1">
      <c r="A9" s="40"/>
      <c r="B9" s="141"/>
      <c r="J9" s="47"/>
      <c r="K9" s="84"/>
      <c r="L9" s="85" t="b">
        <v>0</v>
      </c>
      <c r="M9" s="86"/>
      <c r="N9" s="142"/>
      <c r="O9" s="88"/>
      <c r="P9" s="40"/>
    </row>
    <row r="10" ht="15.75" customHeight="1">
      <c r="A10" s="40"/>
      <c r="B10" s="141"/>
      <c r="J10" s="47"/>
      <c r="K10" s="84"/>
      <c r="L10" s="143" t="b">
        <v>0</v>
      </c>
      <c r="M10" s="86"/>
      <c r="N10" s="142"/>
      <c r="O10" s="144"/>
      <c r="P10" s="40"/>
    </row>
    <row r="11" ht="15.75" customHeight="1">
      <c r="A11" s="40"/>
      <c r="B11" s="141"/>
      <c r="J11" s="47"/>
      <c r="K11" s="145"/>
      <c r="L11" s="85" t="b">
        <v>0</v>
      </c>
      <c r="M11" s="146"/>
      <c r="N11" s="142"/>
      <c r="O11" s="144"/>
      <c r="P11" s="40"/>
    </row>
    <row r="12" ht="15.75" customHeight="1">
      <c r="A12" s="40"/>
      <c r="B12" s="141"/>
      <c r="J12" s="47"/>
      <c r="K12" s="145"/>
      <c r="L12" s="85" t="b">
        <v>0</v>
      </c>
      <c r="M12" s="146"/>
      <c r="N12" s="142"/>
      <c r="O12" s="144"/>
      <c r="P12" s="40"/>
    </row>
    <row r="13" ht="15.75" customHeight="1">
      <c r="A13" s="40"/>
      <c r="B13" s="141"/>
      <c r="J13" s="47"/>
      <c r="K13" s="145"/>
      <c r="L13" s="85" t="b">
        <v>0</v>
      </c>
      <c r="M13" s="146"/>
      <c r="N13" s="142"/>
      <c r="O13" s="144"/>
      <c r="P13" s="40"/>
    </row>
    <row r="14" ht="15.75" customHeight="1">
      <c r="A14" s="40"/>
      <c r="B14" s="141"/>
      <c r="J14" s="47"/>
      <c r="K14" s="145"/>
      <c r="L14" s="143" t="b">
        <v>0</v>
      </c>
      <c r="M14" s="146"/>
      <c r="N14" s="142"/>
      <c r="O14" s="144"/>
      <c r="P14" s="40"/>
    </row>
    <row r="15" ht="15.75" customHeight="1">
      <c r="A15" s="40"/>
      <c r="B15" s="141"/>
      <c r="J15" s="47"/>
      <c r="K15" s="145"/>
      <c r="L15" s="143" t="b">
        <v>0</v>
      </c>
      <c r="M15" s="146"/>
      <c r="N15" s="142"/>
      <c r="O15" s="144"/>
      <c r="P15" s="40"/>
    </row>
    <row r="16" ht="15.75" customHeight="1">
      <c r="A16" s="40"/>
      <c r="B16" s="141"/>
      <c r="J16" s="47"/>
      <c r="K16" s="145"/>
      <c r="L16" s="143" t="b">
        <v>0</v>
      </c>
      <c r="M16" s="146"/>
      <c r="N16" s="142"/>
      <c r="O16" s="144"/>
      <c r="P16" s="40"/>
    </row>
    <row r="17" ht="15.75" customHeight="1">
      <c r="A17" s="40"/>
      <c r="B17" s="89"/>
      <c r="C17" s="16"/>
      <c r="D17" s="16"/>
      <c r="E17" s="16"/>
      <c r="F17" s="16"/>
      <c r="G17" s="16"/>
      <c r="H17" s="16"/>
      <c r="I17" s="16"/>
      <c r="J17" s="90"/>
      <c r="K17" s="91"/>
      <c r="L17" s="92" t="b">
        <v>0</v>
      </c>
      <c r="M17" s="93"/>
      <c r="N17" s="94"/>
      <c r="O17" s="95"/>
      <c r="P17" s="40"/>
    </row>
    <row r="18" ht="15.75" customHeight="1">
      <c r="A18" s="40"/>
      <c r="B18" s="96"/>
      <c r="C18" s="96"/>
      <c r="D18" s="96"/>
      <c r="E18" s="96"/>
      <c r="F18" s="96"/>
      <c r="G18" s="96"/>
      <c r="H18" s="96"/>
      <c r="I18" s="1"/>
      <c r="J18" s="101" t="s">
        <v>79</v>
      </c>
      <c r="K18" s="102"/>
      <c r="L18" s="1"/>
      <c r="M18" s="1"/>
      <c r="N18" s="97"/>
      <c r="O18" s="97"/>
      <c r="P18" s="40"/>
    </row>
    <row r="19" ht="15.75" customHeight="1">
      <c r="A19" s="40"/>
      <c r="B19" s="96"/>
      <c r="C19" s="96"/>
      <c r="D19" s="96"/>
      <c r="E19" s="96"/>
      <c r="F19" s="96"/>
      <c r="G19" s="96"/>
      <c r="H19" s="96"/>
      <c r="I19" s="100"/>
      <c r="J19" s="108" t="s">
        <v>63</v>
      </c>
      <c r="K19" s="109"/>
      <c r="L19" s="110"/>
      <c r="M19" s="111" t="s">
        <v>64</v>
      </c>
      <c r="N19" s="109"/>
      <c r="O19" s="102"/>
      <c r="P19" s="40"/>
    </row>
    <row r="20" ht="15.75" customHeight="1">
      <c r="A20" s="40"/>
      <c r="B20" s="19" t="s">
        <v>80</v>
      </c>
      <c r="C20" s="150"/>
      <c r="D20" s="150"/>
      <c r="E20" s="150"/>
      <c r="F20" s="150"/>
      <c r="G20" s="150"/>
      <c r="H20" s="150"/>
      <c r="I20" s="100"/>
      <c r="J20" s="117" t="str">
        <f t="array" ref="J20">GPA({K8:K17,M8:M17,O8:O17},1,2)</f>
        <v>Loading...</v>
      </c>
      <c r="K20" s="118"/>
      <c r="L20" s="110"/>
      <c r="M20" s="119" t="str">
        <f t="array" ref="M20">CREDITSSUM({K8:K17,M8:M17},1,2)</f>
        <v>Loading...</v>
      </c>
      <c r="N20" s="118"/>
      <c r="O20" s="120"/>
      <c r="P20" s="40"/>
    </row>
    <row r="21" ht="31.5" customHeight="1">
      <c r="A21" s="40"/>
      <c r="B21" s="76" t="s">
        <v>53</v>
      </c>
      <c r="C21" s="8"/>
      <c r="D21" s="8"/>
      <c r="E21" s="8"/>
      <c r="F21" s="8"/>
      <c r="G21" s="8"/>
      <c r="H21" s="8"/>
      <c r="I21" s="8"/>
      <c r="J21" s="77"/>
      <c r="K21" s="78" t="s">
        <v>54</v>
      </c>
      <c r="L21" s="79" t="s">
        <v>55</v>
      </c>
      <c r="M21" s="80" t="s">
        <v>56</v>
      </c>
      <c r="N21" s="81"/>
      <c r="O21" s="82" t="s">
        <v>57</v>
      </c>
      <c r="P21" s="1"/>
    </row>
    <row r="22" ht="15.75" customHeight="1">
      <c r="A22" s="40"/>
      <c r="B22" s="83"/>
      <c r="J22" s="47"/>
      <c r="K22" s="84"/>
      <c r="L22" s="85"/>
      <c r="M22" s="86"/>
      <c r="N22" s="87"/>
      <c r="O22" s="88"/>
      <c r="P22" s="1"/>
    </row>
    <row r="23" ht="15.75" customHeight="1">
      <c r="A23" s="40"/>
      <c r="B23" s="141"/>
      <c r="J23" s="47"/>
      <c r="K23" s="84"/>
      <c r="L23" s="85" t="b">
        <v>0</v>
      </c>
      <c r="M23" s="86"/>
      <c r="N23" s="142"/>
      <c r="O23" s="88"/>
      <c r="P23" s="40"/>
    </row>
    <row r="24" ht="15.75" customHeight="1">
      <c r="A24" s="40"/>
      <c r="B24" s="141"/>
      <c r="J24" s="47"/>
      <c r="K24" s="84"/>
      <c r="L24" s="143" t="b">
        <v>0</v>
      </c>
      <c r="M24" s="86"/>
      <c r="N24" s="142"/>
      <c r="O24" s="144"/>
      <c r="P24" s="40"/>
    </row>
    <row r="25" ht="15.75" customHeight="1">
      <c r="A25" s="40"/>
      <c r="B25" s="141"/>
      <c r="J25" s="47"/>
      <c r="K25" s="145"/>
      <c r="L25" s="143" t="b">
        <v>0</v>
      </c>
      <c r="M25" s="146"/>
      <c r="N25" s="142"/>
      <c r="O25" s="144"/>
      <c r="P25" s="40"/>
    </row>
    <row r="26" ht="15.75" customHeight="1">
      <c r="A26" s="40"/>
      <c r="B26" s="141"/>
      <c r="J26" s="47"/>
      <c r="K26" s="145"/>
      <c r="L26" s="85" t="b">
        <v>0</v>
      </c>
      <c r="M26" s="146"/>
      <c r="N26" s="142"/>
      <c r="O26" s="144"/>
      <c r="P26" s="40"/>
    </row>
    <row r="27" ht="15.75" customHeight="1">
      <c r="A27" s="40"/>
      <c r="B27" s="141"/>
      <c r="J27" s="47"/>
      <c r="K27" s="145"/>
      <c r="L27" s="85" t="b">
        <v>0</v>
      </c>
      <c r="M27" s="146"/>
      <c r="N27" s="142"/>
      <c r="O27" s="144"/>
      <c r="P27" s="40"/>
    </row>
    <row r="28" ht="15.75" customHeight="1">
      <c r="A28" s="40"/>
      <c r="B28" s="141"/>
      <c r="J28" s="47"/>
      <c r="K28" s="146"/>
      <c r="L28" s="85" t="b">
        <v>0</v>
      </c>
      <c r="M28" s="146"/>
      <c r="N28" s="142"/>
      <c r="O28" s="144"/>
      <c r="P28" s="40"/>
    </row>
    <row r="29" ht="15.75" customHeight="1">
      <c r="A29" s="40"/>
      <c r="B29" s="141"/>
      <c r="J29" s="47"/>
      <c r="K29" s="145"/>
      <c r="L29" s="143" t="b">
        <v>0</v>
      </c>
      <c r="M29" s="146"/>
      <c r="N29" s="142"/>
      <c r="O29" s="144"/>
      <c r="P29" s="40"/>
    </row>
    <row r="30" ht="15.75" customHeight="1">
      <c r="A30" s="40"/>
      <c r="B30" s="141"/>
      <c r="J30" s="47"/>
      <c r="K30" s="145"/>
      <c r="L30" s="143" t="b">
        <v>0</v>
      </c>
      <c r="M30" s="146"/>
      <c r="N30" s="142"/>
      <c r="O30" s="144"/>
      <c r="P30" s="40"/>
    </row>
    <row r="31" ht="15.75" customHeight="1">
      <c r="A31" s="40"/>
      <c r="B31" s="89"/>
      <c r="C31" s="16"/>
      <c r="D31" s="16"/>
      <c r="E31" s="16"/>
      <c r="F31" s="16"/>
      <c r="G31" s="16"/>
      <c r="H31" s="16"/>
      <c r="I31" s="16"/>
      <c r="J31" s="90"/>
      <c r="K31" s="91"/>
      <c r="L31" s="92" t="b">
        <v>0</v>
      </c>
      <c r="M31" s="93"/>
      <c r="N31" s="94"/>
      <c r="O31" s="95"/>
      <c r="P31" s="40"/>
    </row>
    <row r="32" ht="15.75" customHeight="1">
      <c r="A32" s="40"/>
      <c r="B32" s="96"/>
      <c r="C32" s="96"/>
      <c r="D32" s="96"/>
      <c r="E32" s="96"/>
      <c r="F32" s="96"/>
      <c r="G32" s="96"/>
      <c r="H32" s="96"/>
      <c r="I32" s="1"/>
      <c r="J32" s="101" t="s">
        <v>81</v>
      </c>
      <c r="K32" s="102"/>
      <c r="L32" s="1"/>
      <c r="M32" s="1"/>
      <c r="N32" s="97"/>
      <c r="O32" s="97"/>
      <c r="P32" s="40"/>
    </row>
    <row r="33" ht="15.75" customHeight="1">
      <c r="A33" s="40"/>
      <c r="B33" s="96"/>
      <c r="C33" s="96"/>
      <c r="D33" s="96"/>
      <c r="E33" s="96"/>
      <c r="F33" s="96"/>
      <c r="G33" s="96"/>
      <c r="H33" s="96"/>
      <c r="I33" s="100"/>
      <c r="J33" s="108" t="s">
        <v>63</v>
      </c>
      <c r="K33" s="109"/>
      <c r="L33" s="110"/>
      <c r="M33" s="111" t="s">
        <v>64</v>
      </c>
      <c r="N33" s="109"/>
      <c r="O33" s="102"/>
      <c r="P33" s="40"/>
    </row>
    <row r="34" ht="15.75" customHeight="1">
      <c r="A34" s="40"/>
      <c r="B34" s="19" t="s">
        <v>82</v>
      </c>
      <c r="C34" s="150"/>
      <c r="D34" s="150"/>
      <c r="E34" s="150"/>
      <c r="F34" s="150"/>
      <c r="G34" s="150"/>
      <c r="H34" s="150"/>
      <c r="I34" s="100"/>
      <c r="J34" s="117" t="str">
        <f t="array" ref="J34">GPA({K22:K31,M22:M31,O22:O31},1,2)</f>
        <v>Loading...</v>
      </c>
      <c r="K34" s="118"/>
      <c r="L34" s="110"/>
      <c r="M34" s="119" t="str">
        <f t="array" ref="M34">CREDITSSUM({K22:K31,M22:M31},1,2)</f>
        <v>Loading...</v>
      </c>
      <c r="N34" s="118"/>
      <c r="O34" s="120"/>
      <c r="P34" s="40"/>
    </row>
    <row r="35" ht="31.5" customHeight="1">
      <c r="A35" s="40"/>
      <c r="B35" s="76" t="s">
        <v>53</v>
      </c>
      <c r="C35" s="8"/>
      <c r="D35" s="8"/>
      <c r="E35" s="8"/>
      <c r="F35" s="8"/>
      <c r="G35" s="8"/>
      <c r="H35" s="8"/>
      <c r="I35" s="8"/>
      <c r="J35" s="77"/>
      <c r="K35" s="78" t="s">
        <v>54</v>
      </c>
      <c r="L35" s="79" t="s">
        <v>55</v>
      </c>
      <c r="M35" s="80" t="s">
        <v>56</v>
      </c>
      <c r="N35" s="81"/>
      <c r="O35" s="82" t="s">
        <v>57</v>
      </c>
      <c r="P35" s="1"/>
    </row>
    <row r="36" ht="15.75" customHeight="1">
      <c r="A36" s="40"/>
      <c r="B36" s="83"/>
      <c r="J36" s="47"/>
      <c r="K36" s="84"/>
      <c r="L36" s="85"/>
      <c r="M36" s="86"/>
      <c r="N36" s="87"/>
      <c r="O36" s="88"/>
      <c r="P36" s="1"/>
    </row>
    <row r="37" ht="15.75" customHeight="1">
      <c r="A37" s="40"/>
      <c r="B37" s="141"/>
      <c r="J37" s="47"/>
      <c r="K37" s="84"/>
      <c r="L37" s="85" t="b">
        <v>0</v>
      </c>
      <c r="M37" s="86"/>
      <c r="N37" s="142"/>
      <c r="O37" s="88"/>
      <c r="P37" s="40"/>
    </row>
    <row r="38" ht="15.75" customHeight="1">
      <c r="A38" s="40"/>
      <c r="B38" s="141"/>
      <c r="J38" s="47"/>
      <c r="K38" s="84"/>
      <c r="L38" s="143" t="b">
        <v>0</v>
      </c>
      <c r="M38" s="86"/>
      <c r="N38" s="142"/>
      <c r="O38" s="144"/>
      <c r="P38" s="40"/>
    </row>
    <row r="39" ht="15.75" customHeight="1">
      <c r="A39" s="40"/>
      <c r="B39" s="141"/>
      <c r="J39" s="47"/>
      <c r="K39" s="145"/>
      <c r="L39" s="143" t="b">
        <v>0</v>
      </c>
      <c r="M39" s="146"/>
      <c r="N39" s="142"/>
      <c r="O39" s="144"/>
      <c r="P39" s="40"/>
    </row>
    <row r="40" ht="15.75" customHeight="1">
      <c r="A40" s="40"/>
      <c r="B40" s="141"/>
      <c r="J40" s="47"/>
      <c r="K40" s="145"/>
      <c r="L40" s="85" t="b">
        <v>0</v>
      </c>
      <c r="M40" s="146"/>
      <c r="N40" s="142"/>
      <c r="O40" s="144"/>
      <c r="P40" s="40"/>
    </row>
    <row r="41" ht="15.75" customHeight="1">
      <c r="A41" s="40"/>
      <c r="B41" s="141"/>
      <c r="J41" s="47"/>
      <c r="K41" s="145"/>
      <c r="L41" s="85" t="b">
        <v>0</v>
      </c>
      <c r="M41" s="146"/>
      <c r="N41" s="142"/>
      <c r="O41" s="144"/>
      <c r="P41" s="40"/>
    </row>
    <row r="42" ht="15.75" customHeight="1">
      <c r="A42" s="40"/>
      <c r="B42" s="141"/>
      <c r="J42" s="47"/>
      <c r="K42" s="146"/>
      <c r="L42" s="85" t="b">
        <v>0</v>
      </c>
      <c r="M42" s="146"/>
      <c r="N42" s="142"/>
      <c r="O42" s="144"/>
      <c r="P42" s="40"/>
    </row>
    <row r="43" ht="15.75" customHeight="1">
      <c r="A43" s="40"/>
      <c r="B43" s="141"/>
      <c r="J43" s="47"/>
      <c r="K43" s="145"/>
      <c r="L43" s="143" t="b">
        <v>0</v>
      </c>
      <c r="M43" s="146"/>
      <c r="N43" s="142"/>
      <c r="O43" s="144"/>
      <c r="P43" s="40"/>
    </row>
    <row r="44" ht="15.75" customHeight="1">
      <c r="A44" s="40"/>
      <c r="B44" s="141"/>
      <c r="J44" s="47"/>
      <c r="K44" s="145"/>
      <c r="L44" s="143" t="b">
        <v>0</v>
      </c>
      <c r="M44" s="146"/>
      <c r="N44" s="142"/>
      <c r="O44" s="144"/>
      <c r="P44" s="40"/>
    </row>
    <row r="45" ht="15.75" customHeight="1">
      <c r="A45" s="40"/>
      <c r="B45" s="89"/>
      <c r="C45" s="16"/>
      <c r="D45" s="16"/>
      <c r="E45" s="16"/>
      <c r="F45" s="16"/>
      <c r="G45" s="16"/>
      <c r="H45" s="16"/>
      <c r="I45" s="16"/>
      <c r="J45" s="90"/>
      <c r="K45" s="91"/>
      <c r="L45" s="92" t="b">
        <v>0</v>
      </c>
      <c r="M45" s="93"/>
      <c r="N45" s="94"/>
      <c r="O45" s="95"/>
      <c r="P45" s="40"/>
    </row>
    <row r="46" ht="15.75" customHeight="1">
      <c r="A46" s="40"/>
      <c r="B46" s="96"/>
      <c r="C46" s="96"/>
      <c r="D46" s="96"/>
      <c r="E46" s="96"/>
      <c r="F46" s="96"/>
      <c r="G46" s="96"/>
      <c r="H46" s="96"/>
      <c r="I46" s="1"/>
      <c r="J46" s="101" t="s">
        <v>83</v>
      </c>
      <c r="K46" s="102"/>
      <c r="L46" s="1"/>
      <c r="M46" s="1"/>
      <c r="N46" s="97"/>
      <c r="O46" s="97"/>
      <c r="P46" s="40"/>
    </row>
    <row r="47" ht="15.75" customHeight="1">
      <c r="A47" s="40"/>
      <c r="B47" s="96"/>
      <c r="C47" s="96"/>
      <c r="D47" s="96"/>
      <c r="E47" s="96"/>
      <c r="F47" s="96"/>
      <c r="G47" s="96"/>
      <c r="H47" s="96"/>
      <c r="I47" s="100"/>
      <c r="J47" s="108" t="s">
        <v>63</v>
      </c>
      <c r="K47" s="109"/>
      <c r="L47" s="110"/>
      <c r="M47" s="111" t="s">
        <v>64</v>
      </c>
      <c r="N47" s="109"/>
      <c r="O47" s="102"/>
      <c r="P47" s="40"/>
    </row>
    <row r="48" ht="15.75" customHeight="1">
      <c r="A48" s="40"/>
      <c r="B48" s="98" t="s">
        <v>58</v>
      </c>
      <c r="C48" s="99"/>
      <c r="D48" s="99"/>
      <c r="E48" s="99"/>
      <c r="F48" s="99"/>
      <c r="G48" s="99"/>
      <c r="H48" s="99"/>
      <c r="I48" s="100"/>
      <c r="J48" s="117" t="str">
        <f t="array" ref="J48">GPA({K36:K45,M36:M45,O36:O45},1,2)</f>
        <v>Loading...</v>
      </c>
      <c r="K48" s="118"/>
      <c r="L48" s="110"/>
      <c r="M48" s="119" t="str">
        <f t="array" ref="M48">CREDITSSUM({K36:K45,M36:M45},1,2)</f>
        <v>Loading...</v>
      </c>
      <c r="N48" s="118"/>
      <c r="O48" s="120"/>
      <c r="P48" s="40"/>
    </row>
    <row r="49" ht="15.75" customHeight="1">
      <c r="A49" s="40"/>
      <c r="B49" s="103" t="s">
        <v>60</v>
      </c>
      <c r="C49" s="104" t="s">
        <v>61</v>
      </c>
      <c r="D49" s="105"/>
      <c r="E49" s="106"/>
      <c r="F49" s="104" t="s">
        <v>62</v>
      </c>
      <c r="G49" s="105"/>
      <c r="H49" s="107"/>
      <c r="I49" s="110"/>
      <c r="J49" s="1"/>
      <c r="K49" s="1"/>
      <c r="L49" s="1"/>
      <c r="M49" s="1"/>
      <c r="N49" s="1"/>
      <c r="O49" s="1"/>
      <c r="P49" s="40"/>
    </row>
    <row r="50" ht="15.75" customHeight="1">
      <c r="A50" s="40"/>
      <c r="B50" s="112"/>
      <c r="C50" s="113" t="s">
        <v>65</v>
      </c>
      <c r="D50" s="114" t="s">
        <v>66</v>
      </c>
      <c r="E50" s="115" t="s">
        <v>67</v>
      </c>
      <c r="F50" s="113" t="s">
        <v>65</v>
      </c>
      <c r="G50" s="114" t="s">
        <v>66</v>
      </c>
      <c r="H50" s="116" t="s">
        <v>67</v>
      </c>
      <c r="I50" s="110"/>
      <c r="J50" s="101" t="s">
        <v>59</v>
      </c>
      <c r="K50" s="102"/>
      <c r="L50" s="1"/>
      <c r="M50" s="1"/>
      <c r="N50" s="97"/>
      <c r="O50" s="97"/>
      <c r="P50" s="40"/>
    </row>
    <row r="51" ht="15.75" customHeight="1">
      <c r="A51" s="40"/>
      <c r="B51" s="132" t="s">
        <v>68</v>
      </c>
      <c r="C51" s="122"/>
      <c r="D51" s="84"/>
      <c r="E51" s="123"/>
      <c r="F51" s="86"/>
      <c r="G51" s="84"/>
      <c r="H51" s="124"/>
      <c r="I51" s="110"/>
      <c r="J51" s="108" t="s">
        <v>63</v>
      </c>
      <c r="K51" s="109"/>
      <c r="L51" s="110"/>
      <c r="M51" s="111" t="s">
        <v>64</v>
      </c>
      <c r="N51" s="109"/>
      <c r="O51" s="102"/>
      <c r="P51" s="40"/>
    </row>
    <row r="52" ht="15.75" customHeight="1">
      <c r="A52" s="40"/>
      <c r="B52" s="132" t="s">
        <v>69</v>
      </c>
      <c r="C52" s="122"/>
      <c r="D52" s="84"/>
      <c r="E52" s="123"/>
      <c r="F52" s="86"/>
      <c r="G52" s="84"/>
      <c r="H52" s="124"/>
      <c r="I52" s="110"/>
      <c r="J52" s="117" t="str">
        <f t="array" ref="J52">GPA({K8:K17,M8:M17,O8:O17;K22:K31,M22:M31,O22:O31;K36:K45,M36:M45,O36:O45},1,2)</f>
        <v>Loading...</v>
      </c>
      <c r="K52" s="118"/>
      <c r="L52" s="110"/>
      <c r="M52" s="119" t="str">
        <f t="array" ref="M52">CREDITSSUM({K8:K17,M8:M17;K22:K31,M22:M31;K36:K45,M36:M45},1,2)</f>
        <v>Loading...</v>
      </c>
      <c r="N52" s="118"/>
      <c r="O52" s="120"/>
      <c r="P52" s="40"/>
    </row>
    <row r="53" ht="15.75" customHeight="1">
      <c r="A53" s="40"/>
      <c r="B53" s="121" t="s">
        <v>70</v>
      </c>
      <c r="C53" s="122"/>
      <c r="D53" s="84"/>
      <c r="E53" s="123"/>
      <c r="F53" s="86"/>
      <c r="G53" s="84"/>
      <c r="H53" s="124"/>
      <c r="I53" s="97"/>
      <c r="J53" s="97"/>
      <c r="K53" s="97"/>
      <c r="L53" s="131"/>
      <c r="M53" s="97"/>
      <c r="N53" s="97"/>
      <c r="O53" s="97"/>
      <c r="P53" s="40"/>
    </row>
    <row r="54" ht="15.75" customHeight="1">
      <c r="A54" s="40"/>
      <c r="B54" s="125" t="s">
        <v>71</v>
      </c>
      <c r="C54" s="126"/>
      <c r="D54" s="127"/>
      <c r="E54" s="128"/>
      <c r="F54" s="129"/>
      <c r="G54" s="127"/>
      <c r="H54" s="130"/>
      <c r="I54" s="97"/>
      <c r="J54" s="97"/>
      <c r="K54" s="97"/>
      <c r="L54" s="131"/>
      <c r="M54" s="97"/>
      <c r="N54" s="97"/>
      <c r="O54" s="97"/>
      <c r="P54" s="40"/>
    </row>
    <row r="55" ht="15.75" customHeight="1">
      <c r="A55" s="40"/>
      <c r="B55" s="96"/>
      <c r="C55" s="96"/>
      <c r="D55" s="96"/>
      <c r="E55" s="96"/>
      <c r="F55" s="96"/>
      <c r="G55" s="96"/>
      <c r="H55" s="96"/>
      <c r="I55" s="97"/>
      <c r="J55" s="97"/>
      <c r="K55" s="97"/>
      <c r="L55" s="131"/>
      <c r="M55" s="97"/>
      <c r="N55" s="97"/>
      <c r="O55" s="97"/>
      <c r="P55" s="40"/>
    </row>
    <row r="56" ht="15.75" customHeight="1">
      <c r="A56" s="40"/>
      <c r="B56" s="96"/>
      <c r="C56" s="96"/>
      <c r="D56" s="96"/>
      <c r="E56" s="96"/>
      <c r="F56" s="96"/>
      <c r="G56" s="96"/>
      <c r="H56" s="96"/>
      <c r="I56" s="97"/>
      <c r="J56" s="97"/>
      <c r="K56" s="97"/>
      <c r="L56" s="131"/>
      <c r="M56" s="97"/>
      <c r="N56" s="97"/>
      <c r="O56" s="97"/>
      <c r="P56" s="40"/>
    </row>
  </sheetData>
  <mergeCells count="74">
    <mergeCell ref="B28:J28"/>
    <mergeCell ref="B29:J29"/>
    <mergeCell ref="B30:J30"/>
    <mergeCell ref="B31:J31"/>
    <mergeCell ref="J32:K32"/>
    <mergeCell ref="J33:K33"/>
    <mergeCell ref="J34:K34"/>
    <mergeCell ref="B35:J35"/>
    <mergeCell ref="B36:J36"/>
    <mergeCell ref="B37:J37"/>
    <mergeCell ref="B38:J38"/>
    <mergeCell ref="B39:J39"/>
    <mergeCell ref="B40:J40"/>
    <mergeCell ref="B41:J41"/>
    <mergeCell ref="M47:O47"/>
    <mergeCell ref="M48:O48"/>
    <mergeCell ref="M51:O51"/>
    <mergeCell ref="M52:O52"/>
    <mergeCell ref="B49:B50"/>
    <mergeCell ref="C49:E49"/>
    <mergeCell ref="F49:H49"/>
    <mergeCell ref="J50:K50"/>
    <mergeCell ref="J51:K51"/>
    <mergeCell ref="J52:K52"/>
    <mergeCell ref="B42:J42"/>
    <mergeCell ref="B43:J43"/>
    <mergeCell ref="B44:J44"/>
    <mergeCell ref="B45:J45"/>
    <mergeCell ref="J46:K46"/>
    <mergeCell ref="J47:K47"/>
    <mergeCell ref="J48:K48"/>
    <mergeCell ref="C1:H1"/>
    <mergeCell ref="I1:O1"/>
    <mergeCell ref="C2:E2"/>
    <mergeCell ref="F2:H2"/>
    <mergeCell ref="I2:J2"/>
    <mergeCell ref="K2:O2"/>
    <mergeCell ref="C3:E3"/>
    <mergeCell ref="K3:O3"/>
    <mergeCell ref="F3:H3"/>
    <mergeCell ref="I3:J3"/>
    <mergeCell ref="C4:E4"/>
    <mergeCell ref="F4:H4"/>
    <mergeCell ref="I4:J4"/>
    <mergeCell ref="K4:O4"/>
    <mergeCell ref="C5:E6"/>
    <mergeCell ref="K5:O6"/>
    <mergeCell ref="F5:H6"/>
    <mergeCell ref="I5:J6"/>
    <mergeCell ref="B7:J7"/>
    <mergeCell ref="B8:J8"/>
    <mergeCell ref="B9:J9"/>
    <mergeCell ref="B10:J10"/>
    <mergeCell ref="B11:J11"/>
    <mergeCell ref="J19:K19"/>
    <mergeCell ref="M19:O19"/>
    <mergeCell ref="J20:K20"/>
    <mergeCell ref="M20:O20"/>
    <mergeCell ref="B12:J12"/>
    <mergeCell ref="B13:J13"/>
    <mergeCell ref="B14:J14"/>
    <mergeCell ref="B15:J15"/>
    <mergeCell ref="B16:J16"/>
    <mergeCell ref="B17:J17"/>
    <mergeCell ref="J18:K18"/>
    <mergeCell ref="B21:J21"/>
    <mergeCell ref="B22:J22"/>
    <mergeCell ref="B23:J23"/>
    <mergeCell ref="B24:J24"/>
    <mergeCell ref="B25:J25"/>
    <mergeCell ref="B26:J26"/>
    <mergeCell ref="B27:J27"/>
    <mergeCell ref="M33:O33"/>
    <mergeCell ref="M34:O34"/>
  </mergeCells>
  <dataValidations>
    <dataValidation type="custom" allowBlank="1" showDropDown="1" showInputMessage="1" showErrorMessage="1" prompt="Enter a number" sqref="K8:K15 O8:O17 K22:K30 O22:O31 K36:K44 O36:O45">
      <formula1>ISNUMBER(K8)</formula1>
    </dataValidation>
    <dataValidation type="list" allowBlank="1" showInputMessage="1" showErrorMessage="1" prompt="Click and enter a valid scale from the list of items. The valid scales are Letter, 0-100, 0-4, and None" sqref="B3">
      <formula1>"Letter,0-4,0-100,None"</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8.88"/>
    <col customWidth="1" min="3" max="8" width="6.38"/>
    <col customWidth="1" hidden="1" min="9" max="9" width="18.88"/>
    <col customWidth="1" min="10" max="10" width="18.88"/>
    <col customWidth="1" min="11" max="11" width="6.38"/>
    <col customWidth="1" hidden="1" min="12" max="12" width="18.88"/>
    <col customWidth="1" min="13" max="13" width="6.38"/>
    <col customWidth="1" hidden="1" min="14" max="14" width="6.38"/>
    <col customWidth="1" min="15" max="15" width="6.38"/>
  </cols>
  <sheetData>
    <row r="1" ht="15.75" customHeight="1">
      <c r="A1" s="58"/>
      <c r="B1" s="1"/>
      <c r="C1" s="71" t="s">
        <v>5</v>
      </c>
      <c r="I1" s="58" t="s">
        <v>6</v>
      </c>
      <c r="P1" s="72"/>
    </row>
    <row r="2" ht="15.75" customHeight="1">
      <c r="A2" s="58"/>
      <c r="B2" s="74" t="s">
        <v>50</v>
      </c>
      <c r="P2" s="72"/>
    </row>
    <row r="3" ht="15.75" customHeight="1">
      <c r="A3" s="73"/>
      <c r="B3" s="75" t="s">
        <v>51</v>
      </c>
      <c r="C3" s="59" t="s">
        <v>8</v>
      </c>
      <c r="F3" s="60" t="str">
        <f>'Getting Started'!$G$10</f>
        <v/>
      </c>
      <c r="I3" s="59" t="s">
        <v>9</v>
      </c>
      <c r="K3" s="60" t="str">
        <f>'Getting Started'!$I$10</f>
        <v/>
      </c>
      <c r="P3" s="40"/>
    </row>
    <row r="4" ht="15.75" customHeight="1">
      <c r="A4" s="73"/>
      <c r="B4" s="133" t="s">
        <v>72</v>
      </c>
      <c r="C4" s="59" t="s">
        <v>11</v>
      </c>
      <c r="F4" s="61" t="str">
        <f>'Getting Started'!$G$11</f>
        <v/>
      </c>
      <c r="I4" s="59" t="s">
        <v>12</v>
      </c>
      <c r="K4" s="60" t="str">
        <f>'Getting Started'!$I$11</f>
        <v/>
      </c>
      <c r="P4" s="40"/>
    </row>
    <row r="5" ht="15.75" customHeight="1">
      <c r="A5" s="73"/>
      <c r="B5" s="40" t="str">
        <f>J54</f>
        <v>Loading...</v>
      </c>
      <c r="C5" s="59" t="s">
        <v>13</v>
      </c>
      <c r="F5" s="60" t="str">
        <f>'Getting Started'!$G$12</f>
        <v/>
      </c>
      <c r="I5" s="59" t="s">
        <v>14</v>
      </c>
      <c r="K5" s="60" t="str">
        <f>'Getting Started'!$I$12</f>
        <v/>
      </c>
      <c r="P5" s="40"/>
    </row>
    <row r="6" ht="15.75" customHeight="1">
      <c r="A6" s="73"/>
      <c r="B6" s="133" t="s">
        <v>64</v>
      </c>
      <c r="P6" s="40"/>
    </row>
    <row r="7" ht="15.75" customHeight="1">
      <c r="A7" s="73"/>
      <c r="B7" s="40" t="str">
        <f>M54</f>
        <v>Loading...</v>
      </c>
      <c r="C7" s="59" t="s">
        <v>15</v>
      </c>
      <c r="F7" s="62" t="str">
        <f>'Getting Started'!$G$14</f>
        <v/>
      </c>
      <c r="I7" s="59" t="s">
        <v>16</v>
      </c>
      <c r="K7" s="60" t="str">
        <f>'Getting Started'!$I$14</f>
        <v/>
      </c>
      <c r="P7" s="40"/>
    </row>
    <row r="8" ht="15.75" customHeight="1">
      <c r="A8" s="73"/>
      <c r="B8" s="19" t="s">
        <v>78</v>
      </c>
      <c r="P8" s="40"/>
    </row>
    <row r="9" ht="31.5" customHeight="1">
      <c r="A9" s="40"/>
      <c r="B9" s="76" t="s">
        <v>53</v>
      </c>
      <c r="C9" s="8"/>
      <c r="D9" s="8"/>
      <c r="E9" s="8"/>
      <c r="F9" s="8"/>
      <c r="G9" s="8"/>
      <c r="H9" s="8"/>
      <c r="I9" s="8"/>
      <c r="J9" s="77"/>
      <c r="K9" s="78" t="s">
        <v>54</v>
      </c>
      <c r="L9" s="79" t="s">
        <v>55</v>
      </c>
      <c r="M9" s="80" t="s">
        <v>56</v>
      </c>
      <c r="N9" s="81"/>
      <c r="O9" s="82" t="s">
        <v>57</v>
      </c>
      <c r="P9" s="1"/>
    </row>
    <row r="10" ht="15.75" customHeight="1">
      <c r="A10" s="40"/>
      <c r="B10" s="83"/>
      <c r="J10" s="47"/>
      <c r="K10" s="84"/>
      <c r="L10" s="85"/>
      <c r="M10" s="86"/>
      <c r="N10" s="87"/>
      <c r="O10" s="88"/>
      <c r="P10" s="1"/>
    </row>
    <row r="11" ht="15.75" customHeight="1">
      <c r="A11" s="40"/>
      <c r="B11" s="141"/>
      <c r="J11" s="47"/>
      <c r="K11" s="84"/>
      <c r="L11" s="85" t="b">
        <v>0</v>
      </c>
      <c r="M11" s="86"/>
      <c r="N11" s="142"/>
      <c r="O11" s="88"/>
      <c r="P11" s="40"/>
    </row>
    <row r="12" ht="15.75" customHeight="1">
      <c r="A12" s="40"/>
      <c r="B12" s="141"/>
      <c r="J12" s="47"/>
      <c r="K12" s="84"/>
      <c r="L12" s="143" t="b">
        <v>0</v>
      </c>
      <c r="M12" s="86"/>
      <c r="N12" s="142"/>
      <c r="O12" s="144"/>
      <c r="P12" s="40"/>
    </row>
    <row r="13" ht="15.75" customHeight="1">
      <c r="A13" s="40"/>
      <c r="B13" s="141"/>
      <c r="J13" s="47"/>
      <c r="K13" s="145"/>
      <c r="L13" s="85" t="b">
        <v>0</v>
      </c>
      <c r="M13" s="146"/>
      <c r="N13" s="142"/>
      <c r="O13" s="144"/>
      <c r="P13" s="40"/>
    </row>
    <row r="14" ht="15.75" customHeight="1">
      <c r="A14" s="40"/>
      <c r="B14" s="141"/>
      <c r="J14" s="47"/>
      <c r="K14" s="145"/>
      <c r="L14" s="85" t="b">
        <v>0</v>
      </c>
      <c r="M14" s="146"/>
      <c r="N14" s="142"/>
      <c r="O14" s="144"/>
      <c r="P14" s="40"/>
    </row>
    <row r="15" ht="15.75" customHeight="1">
      <c r="A15" s="40"/>
      <c r="B15" s="141"/>
      <c r="J15" s="47"/>
      <c r="K15" s="145"/>
      <c r="L15" s="85" t="b">
        <v>0</v>
      </c>
      <c r="M15" s="146"/>
      <c r="N15" s="142"/>
      <c r="O15" s="144"/>
      <c r="P15" s="40"/>
    </row>
    <row r="16" ht="15.75" customHeight="1">
      <c r="A16" s="40"/>
      <c r="B16" s="141"/>
      <c r="J16" s="47"/>
      <c r="K16" s="145"/>
      <c r="L16" s="143" t="b">
        <v>0</v>
      </c>
      <c r="M16" s="146"/>
      <c r="N16" s="142"/>
      <c r="O16" s="144"/>
      <c r="P16" s="40"/>
    </row>
    <row r="17" ht="15.75" customHeight="1">
      <c r="A17" s="40"/>
      <c r="B17" s="141"/>
      <c r="J17" s="47"/>
      <c r="K17" s="145"/>
      <c r="L17" s="143" t="b">
        <v>0</v>
      </c>
      <c r="M17" s="146"/>
      <c r="N17" s="142"/>
      <c r="O17" s="144"/>
      <c r="P17" s="40"/>
    </row>
    <row r="18" ht="15.75" customHeight="1">
      <c r="A18" s="40"/>
      <c r="B18" s="141"/>
      <c r="J18" s="47"/>
      <c r="K18" s="145"/>
      <c r="L18" s="143" t="b">
        <v>0</v>
      </c>
      <c r="M18" s="146"/>
      <c r="N18" s="142"/>
      <c r="O18" s="144"/>
      <c r="P18" s="40"/>
    </row>
    <row r="19" ht="15.75" customHeight="1">
      <c r="A19" s="40"/>
      <c r="B19" s="89"/>
      <c r="C19" s="16"/>
      <c r="D19" s="16"/>
      <c r="E19" s="16"/>
      <c r="F19" s="16"/>
      <c r="G19" s="16"/>
      <c r="H19" s="16"/>
      <c r="I19" s="16"/>
      <c r="J19" s="90"/>
      <c r="K19" s="91"/>
      <c r="L19" s="92" t="b">
        <v>0</v>
      </c>
      <c r="M19" s="93"/>
      <c r="N19" s="94"/>
      <c r="O19" s="95"/>
      <c r="P19" s="40"/>
    </row>
    <row r="20" ht="15.75" customHeight="1">
      <c r="A20" s="40"/>
      <c r="B20" s="147" t="s">
        <v>73</v>
      </c>
      <c r="C20" s="151"/>
      <c r="D20" s="137"/>
      <c r="E20" s="137"/>
      <c r="F20" s="137"/>
      <c r="G20" s="137"/>
      <c r="H20" s="137"/>
      <c r="I20" s="1"/>
      <c r="J20" s="101" t="s">
        <v>79</v>
      </c>
      <c r="K20" s="102"/>
      <c r="L20" s="1"/>
      <c r="M20" s="1"/>
      <c r="N20" s="97"/>
      <c r="O20" s="97"/>
      <c r="P20" s="40"/>
    </row>
    <row r="21" ht="15.75" customHeight="1">
      <c r="A21" s="40"/>
      <c r="B21" s="96"/>
      <c r="C21" s="149"/>
      <c r="I21" s="100"/>
      <c r="J21" s="108" t="s">
        <v>63</v>
      </c>
      <c r="K21" s="109"/>
      <c r="L21" s="110"/>
      <c r="M21" s="111" t="s">
        <v>64</v>
      </c>
      <c r="N21" s="109"/>
      <c r="O21" s="102"/>
      <c r="P21" s="40"/>
    </row>
    <row r="22" ht="15.75" customHeight="1">
      <c r="A22" s="40"/>
      <c r="B22" s="19" t="s">
        <v>80</v>
      </c>
      <c r="C22" s="152"/>
      <c r="D22" s="140"/>
      <c r="E22" s="140"/>
      <c r="F22" s="140"/>
      <c r="G22" s="140"/>
      <c r="H22" s="140"/>
      <c r="I22" s="100"/>
      <c r="J22" s="117" t="str">
        <f t="array" ref="J22">GPA({K10:K19,M10:M19,O10:O19},1,2)</f>
        <v>Loading...</v>
      </c>
      <c r="K22" s="118"/>
      <c r="L22" s="110"/>
      <c r="M22" s="119" t="str">
        <f t="array" ref="M22">CREDITSSUM({K10:K19,M10:M19},1,2)</f>
        <v>Loading...</v>
      </c>
      <c r="N22" s="118"/>
      <c r="O22" s="120"/>
      <c r="P22" s="40"/>
    </row>
    <row r="23" ht="31.5" customHeight="1">
      <c r="A23" s="40"/>
      <c r="B23" s="76" t="s">
        <v>53</v>
      </c>
      <c r="C23" s="8"/>
      <c r="D23" s="8"/>
      <c r="E23" s="8"/>
      <c r="F23" s="8"/>
      <c r="G23" s="8"/>
      <c r="H23" s="8"/>
      <c r="I23" s="8"/>
      <c r="J23" s="77"/>
      <c r="K23" s="78" t="s">
        <v>54</v>
      </c>
      <c r="L23" s="79" t="s">
        <v>55</v>
      </c>
      <c r="M23" s="80" t="s">
        <v>56</v>
      </c>
      <c r="N23" s="81"/>
      <c r="O23" s="82" t="s">
        <v>57</v>
      </c>
      <c r="P23" s="1"/>
    </row>
    <row r="24" ht="15.75" customHeight="1">
      <c r="A24" s="40"/>
      <c r="B24" s="83"/>
      <c r="J24" s="47"/>
      <c r="K24" s="84"/>
      <c r="L24" s="85"/>
      <c r="M24" s="86"/>
      <c r="N24" s="87"/>
      <c r="O24" s="88"/>
      <c r="P24" s="1"/>
    </row>
    <row r="25" ht="15.75" customHeight="1">
      <c r="A25" s="40"/>
      <c r="B25" s="141"/>
      <c r="J25" s="47"/>
      <c r="K25" s="84"/>
      <c r="L25" s="85" t="b">
        <v>0</v>
      </c>
      <c r="M25" s="86"/>
      <c r="N25" s="142"/>
      <c r="O25" s="88"/>
      <c r="P25" s="40"/>
    </row>
    <row r="26" ht="15.75" customHeight="1">
      <c r="A26" s="40"/>
      <c r="B26" s="141"/>
      <c r="J26" s="47"/>
      <c r="K26" s="84"/>
      <c r="L26" s="143" t="b">
        <v>0</v>
      </c>
      <c r="M26" s="86"/>
      <c r="N26" s="142"/>
      <c r="O26" s="144"/>
      <c r="P26" s="40"/>
    </row>
    <row r="27" ht="15.75" customHeight="1">
      <c r="A27" s="40"/>
      <c r="B27" s="141"/>
      <c r="J27" s="47"/>
      <c r="K27" s="145"/>
      <c r="L27" s="143" t="b">
        <v>0</v>
      </c>
      <c r="M27" s="146"/>
      <c r="N27" s="142"/>
      <c r="O27" s="144"/>
      <c r="P27" s="40"/>
    </row>
    <row r="28" ht="15.75" customHeight="1">
      <c r="A28" s="40"/>
      <c r="B28" s="141"/>
      <c r="J28" s="47"/>
      <c r="K28" s="145"/>
      <c r="L28" s="85" t="b">
        <v>0</v>
      </c>
      <c r="M28" s="146"/>
      <c r="N28" s="142"/>
      <c r="O28" s="144"/>
      <c r="P28" s="40"/>
    </row>
    <row r="29" ht="15.75" customHeight="1">
      <c r="A29" s="40"/>
      <c r="B29" s="141"/>
      <c r="J29" s="47"/>
      <c r="K29" s="145"/>
      <c r="L29" s="85" t="b">
        <v>0</v>
      </c>
      <c r="M29" s="146"/>
      <c r="N29" s="142"/>
      <c r="O29" s="144"/>
      <c r="P29" s="40"/>
    </row>
    <row r="30" ht="15.75" customHeight="1">
      <c r="A30" s="40"/>
      <c r="B30" s="141"/>
      <c r="J30" s="47"/>
      <c r="K30" s="146"/>
      <c r="L30" s="85" t="b">
        <v>0</v>
      </c>
      <c r="M30" s="146"/>
      <c r="N30" s="142"/>
      <c r="O30" s="144"/>
      <c r="P30" s="40"/>
    </row>
    <row r="31" ht="15.75" customHeight="1">
      <c r="A31" s="40"/>
      <c r="B31" s="141"/>
      <c r="J31" s="47"/>
      <c r="K31" s="145"/>
      <c r="L31" s="143" t="b">
        <v>0</v>
      </c>
      <c r="M31" s="146"/>
      <c r="N31" s="142"/>
      <c r="O31" s="144"/>
      <c r="P31" s="40"/>
    </row>
    <row r="32" ht="15.75" customHeight="1">
      <c r="A32" s="40"/>
      <c r="B32" s="141"/>
      <c r="J32" s="47"/>
      <c r="K32" s="145"/>
      <c r="L32" s="143" t="b">
        <v>0</v>
      </c>
      <c r="M32" s="146"/>
      <c r="N32" s="142"/>
      <c r="O32" s="144"/>
      <c r="P32" s="40"/>
    </row>
    <row r="33" ht="15.75" customHeight="1">
      <c r="A33" s="40"/>
      <c r="B33" s="89"/>
      <c r="C33" s="16"/>
      <c r="D33" s="16"/>
      <c r="E33" s="16"/>
      <c r="F33" s="16"/>
      <c r="G33" s="16"/>
      <c r="H33" s="16"/>
      <c r="I33" s="16"/>
      <c r="J33" s="90"/>
      <c r="K33" s="91"/>
      <c r="L33" s="92" t="b">
        <v>0</v>
      </c>
      <c r="M33" s="93"/>
      <c r="N33" s="94"/>
      <c r="O33" s="95"/>
      <c r="P33" s="40"/>
    </row>
    <row r="34" ht="15.75" customHeight="1">
      <c r="A34" s="40"/>
      <c r="B34" s="147" t="s">
        <v>73</v>
      </c>
      <c r="C34" s="151"/>
      <c r="D34" s="137"/>
      <c r="E34" s="137"/>
      <c r="F34" s="137"/>
      <c r="G34" s="137"/>
      <c r="H34" s="137"/>
      <c r="I34" s="1"/>
      <c r="J34" s="101" t="s">
        <v>81</v>
      </c>
      <c r="K34" s="102"/>
      <c r="L34" s="1"/>
      <c r="M34" s="1"/>
      <c r="N34" s="97"/>
      <c r="O34" s="97"/>
      <c r="P34" s="40"/>
    </row>
    <row r="35" ht="15.75" customHeight="1">
      <c r="A35" s="40"/>
      <c r="B35" s="96"/>
      <c r="C35" s="149"/>
      <c r="I35" s="100"/>
      <c r="J35" s="108" t="s">
        <v>63</v>
      </c>
      <c r="K35" s="109"/>
      <c r="L35" s="110"/>
      <c r="M35" s="111" t="s">
        <v>64</v>
      </c>
      <c r="N35" s="109"/>
      <c r="O35" s="102"/>
      <c r="P35" s="40"/>
    </row>
    <row r="36" ht="15.75" customHeight="1">
      <c r="A36" s="40"/>
      <c r="B36" s="19" t="s">
        <v>82</v>
      </c>
      <c r="C36" s="152"/>
      <c r="D36" s="140"/>
      <c r="E36" s="140"/>
      <c r="F36" s="140"/>
      <c r="G36" s="140"/>
      <c r="H36" s="140"/>
      <c r="I36" s="100"/>
      <c r="J36" s="117" t="str">
        <f t="array" ref="J36">GPA({K24:K33,M24:M33,O24:O33},1,2)</f>
        <v>Loading...</v>
      </c>
      <c r="K36" s="118"/>
      <c r="L36" s="110"/>
      <c r="M36" s="119" t="str">
        <f t="array" ref="M36">CREDITSSUM({K24:K33,M24:M33},1,2)</f>
        <v>Loading...</v>
      </c>
      <c r="N36" s="118"/>
      <c r="O36" s="120"/>
      <c r="P36" s="40"/>
    </row>
    <row r="37" ht="31.5" customHeight="1">
      <c r="A37" s="40"/>
      <c r="B37" s="76" t="s">
        <v>53</v>
      </c>
      <c r="C37" s="8"/>
      <c r="D37" s="8"/>
      <c r="E37" s="8"/>
      <c r="F37" s="8"/>
      <c r="G37" s="8"/>
      <c r="H37" s="8"/>
      <c r="I37" s="8"/>
      <c r="J37" s="77"/>
      <c r="K37" s="78" t="s">
        <v>54</v>
      </c>
      <c r="L37" s="79" t="s">
        <v>55</v>
      </c>
      <c r="M37" s="80" t="s">
        <v>56</v>
      </c>
      <c r="N37" s="81"/>
      <c r="O37" s="82" t="s">
        <v>57</v>
      </c>
      <c r="P37" s="1"/>
    </row>
    <row r="38" ht="15.75" customHeight="1">
      <c r="A38" s="40"/>
      <c r="B38" s="83"/>
      <c r="J38" s="47"/>
      <c r="K38" s="84"/>
      <c r="L38" s="85"/>
      <c r="M38" s="86"/>
      <c r="N38" s="87"/>
      <c r="O38" s="88"/>
      <c r="P38" s="1"/>
    </row>
    <row r="39" ht="15.75" customHeight="1">
      <c r="A39" s="40"/>
      <c r="B39" s="141"/>
      <c r="J39" s="47"/>
      <c r="K39" s="84"/>
      <c r="L39" s="85" t="b">
        <v>0</v>
      </c>
      <c r="M39" s="86"/>
      <c r="N39" s="142"/>
      <c r="O39" s="88"/>
      <c r="P39" s="40"/>
    </row>
    <row r="40" ht="15.75" customHeight="1">
      <c r="A40" s="40"/>
      <c r="B40" s="141"/>
      <c r="J40" s="47"/>
      <c r="K40" s="84"/>
      <c r="L40" s="143" t="b">
        <v>0</v>
      </c>
      <c r="M40" s="86"/>
      <c r="N40" s="142"/>
      <c r="O40" s="144"/>
      <c r="P40" s="40"/>
    </row>
    <row r="41" ht="15.75" customHeight="1">
      <c r="A41" s="40"/>
      <c r="B41" s="141"/>
      <c r="J41" s="47"/>
      <c r="K41" s="145"/>
      <c r="L41" s="143" t="b">
        <v>0</v>
      </c>
      <c r="M41" s="146"/>
      <c r="N41" s="142"/>
      <c r="O41" s="144"/>
      <c r="P41" s="40"/>
    </row>
    <row r="42" ht="15.75" customHeight="1">
      <c r="A42" s="40"/>
      <c r="B42" s="141"/>
      <c r="J42" s="47"/>
      <c r="K42" s="145"/>
      <c r="L42" s="85" t="b">
        <v>0</v>
      </c>
      <c r="M42" s="146"/>
      <c r="N42" s="142"/>
      <c r="O42" s="144"/>
      <c r="P42" s="40"/>
    </row>
    <row r="43" ht="15.75" customHeight="1">
      <c r="A43" s="40"/>
      <c r="B43" s="141"/>
      <c r="J43" s="47"/>
      <c r="K43" s="145"/>
      <c r="L43" s="85" t="b">
        <v>0</v>
      </c>
      <c r="M43" s="146"/>
      <c r="N43" s="142"/>
      <c r="O43" s="144"/>
      <c r="P43" s="40"/>
    </row>
    <row r="44" ht="15.75" customHeight="1">
      <c r="A44" s="40"/>
      <c r="B44" s="141"/>
      <c r="J44" s="47"/>
      <c r="K44" s="146"/>
      <c r="L44" s="85" t="b">
        <v>0</v>
      </c>
      <c r="M44" s="146"/>
      <c r="N44" s="142"/>
      <c r="O44" s="144"/>
      <c r="P44" s="40"/>
    </row>
    <row r="45" ht="15.75" customHeight="1">
      <c r="A45" s="40"/>
      <c r="B45" s="141"/>
      <c r="J45" s="47"/>
      <c r="K45" s="145"/>
      <c r="L45" s="143" t="b">
        <v>0</v>
      </c>
      <c r="M45" s="146"/>
      <c r="N45" s="142"/>
      <c r="O45" s="144"/>
      <c r="P45" s="40"/>
    </row>
    <row r="46" ht="15.75" customHeight="1">
      <c r="A46" s="40"/>
      <c r="B46" s="141"/>
      <c r="J46" s="47"/>
      <c r="K46" s="145"/>
      <c r="L46" s="143" t="b">
        <v>0</v>
      </c>
      <c r="M46" s="146"/>
      <c r="N46" s="142"/>
      <c r="O46" s="144"/>
      <c r="P46" s="40"/>
    </row>
    <row r="47" ht="15.75" customHeight="1">
      <c r="A47" s="40"/>
      <c r="B47" s="89"/>
      <c r="C47" s="16"/>
      <c r="D47" s="16"/>
      <c r="E47" s="16"/>
      <c r="F47" s="16"/>
      <c r="G47" s="16"/>
      <c r="H47" s="16"/>
      <c r="I47" s="16"/>
      <c r="J47" s="90"/>
      <c r="K47" s="91"/>
      <c r="L47" s="92" t="b">
        <v>0</v>
      </c>
      <c r="M47" s="93"/>
      <c r="N47" s="94"/>
      <c r="O47" s="95"/>
      <c r="P47" s="40"/>
    </row>
    <row r="48" ht="15.75" customHeight="1">
      <c r="A48" s="40"/>
      <c r="B48" s="147" t="s">
        <v>73</v>
      </c>
      <c r="C48" s="148"/>
      <c r="I48" s="1"/>
      <c r="J48" s="101" t="s">
        <v>83</v>
      </c>
      <c r="K48" s="102"/>
      <c r="L48" s="1"/>
      <c r="M48" s="1"/>
      <c r="N48" s="97"/>
      <c r="O48" s="97"/>
      <c r="P48" s="40"/>
    </row>
    <row r="49" ht="15.75" customHeight="1">
      <c r="A49" s="40"/>
      <c r="B49" s="96"/>
      <c r="C49" s="149"/>
      <c r="I49" s="100"/>
      <c r="J49" s="108" t="s">
        <v>63</v>
      </c>
      <c r="K49" s="109"/>
      <c r="L49" s="110"/>
      <c r="M49" s="111" t="s">
        <v>64</v>
      </c>
      <c r="N49" s="109"/>
      <c r="O49" s="102"/>
      <c r="P49" s="40"/>
    </row>
    <row r="50" ht="15.75" customHeight="1">
      <c r="A50" s="40"/>
      <c r="B50" s="153" t="s">
        <v>58</v>
      </c>
      <c r="C50" s="149"/>
      <c r="I50" s="100"/>
      <c r="J50" s="117" t="str">
        <f t="array" ref="J50">GPA({K38:K47,M38:M47,O38:O47},1,2)</f>
        <v>Loading...</v>
      </c>
      <c r="K50" s="118"/>
      <c r="L50" s="110"/>
      <c r="M50" s="119" t="str">
        <f t="array" ref="M50">CREDITSSUM({K38:K47,M38:M47},1,2)</f>
        <v>Loading...</v>
      </c>
      <c r="N50" s="118"/>
      <c r="O50" s="120"/>
      <c r="P50" s="40"/>
    </row>
    <row r="51" ht="15.75" customHeight="1">
      <c r="A51" s="40"/>
      <c r="B51" s="103" t="s">
        <v>60</v>
      </c>
      <c r="C51" s="104" t="s">
        <v>61</v>
      </c>
      <c r="D51" s="105"/>
      <c r="E51" s="106"/>
      <c r="F51" s="104" t="s">
        <v>62</v>
      </c>
      <c r="G51" s="105"/>
      <c r="H51" s="107"/>
      <c r="I51" s="110"/>
      <c r="J51" s="1"/>
      <c r="K51" s="1"/>
      <c r="L51" s="1"/>
      <c r="M51" s="1"/>
      <c r="N51" s="1"/>
      <c r="O51" s="1"/>
      <c r="P51" s="40"/>
    </row>
    <row r="52" ht="15.75" customHeight="1">
      <c r="A52" s="40"/>
      <c r="B52" s="112"/>
      <c r="C52" s="113" t="s">
        <v>65</v>
      </c>
      <c r="D52" s="114" t="s">
        <v>66</v>
      </c>
      <c r="E52" s="115" t="s">
        <v>67</v>
      </c>
      <c r="F52" s="113" t="s">
        <v>65</v>
      </c>
      <c r="G52" s="114" t="s">
        <v>66</v>
      </c>
      <c r="H52" s="116" t="s">
        <v>67</v>
      </c>
      <c r="I52" s="110"/>
      <c r="J52" s="101" t="s">
        <v>59</v>
      </c>
      <c r="K52" s="102"/>
      <c r="L52" s="1"/>
      <c r="M52" s="1"/>
      <c r="N52" s="97"/>
      <c r="O52" s="97"/>
      <c r="P52" s="40"/>
    </row>
    <row r="53" ht="15.75" customHeight="1">
      <c r="A53" s="40"/>
      <c r="B53" s="132" t="s">
        <v>68</v>
      </c>
      <c r="C53" s="122"/>
      <c r="D53" s="84"/>
      <c r="E53" s="123"/>
      <c r="F53" s="86"/>
      <c r="G53" s="84"/>
      <c r="H53" s="124"/>
      <c r="I53" s="110"/>
      <c r="J53" s="108" t="s">
        <v>63</v>
      </c>
      <c r="K53" s="109"/>
      <c r="L53" s="110"/>
      <c r="M53" s="111" t="s">
        <v>64</v>
      </c>
      <c r="N53" s="109"/>
      <c r="O53" s="102"/>
      <c r="P53" s="40"/>
    </row>
    <row r="54" ht="15.75" customHeight="1">
      <c r="A54" s="40"/>
      <c r="B54" s="132" t="s">
        <v>69</v>
      </c>
      <c r="C54" s="122"/>
      <c r="D54" s="84"/>
      <c r="E54" s="123"/>
      <c r="F54" s="86"/>
      <c r="G54" s="84"/>
      <c r="H54" s="124"/>
      <c r="I54" s="110"/>
      <c r="J54" s="117" t="str">
        <f t="array" ref="J54">GPA({K10:K19,M10:M19,O10:O19;K24:K33,M24:M33,O24:O33;K38:K47,M38:M47,O38:O47},1,2)</f>
        <v>Loading...</v>
      </c>
      <c r="K54" s="118"/>
      <c r="L54" s="110"/>
      <c r="M54" s="119" t="str">
        <f t="array" ref="M54">CREDITSSUM({K10:K19,M10:M19;K24:K33,M24:M33;K38:K47,M38:M47},1,2)</f>
        <v>Loading...</v>
      </c>
      <c r="N54" s="118"/>
      <c r="O54" s="120"/>
      <c r="P54" s="40"/>
    </row>
    <row r="55" ht="15.75" customHeight="1">
      <c r="A55" s="40"/>
      <c r="B55" s="121" t="s">
        <v>70</v>
      </c>
      <c r="C55" s="122"/>
      <c r="D55" s="84"/>
      <c r="E55" s="123"/>
      <c r="F55" s="86"/>
      <c r="G55" s="84"/>
      <c r="H55" s="124"/>
      <c r="I55" s="97"/>
      <c r="J55" s="97"/>
      <c r="K55" s="97"/>
      <c r="L55" s="131"/>
      <c r="M55" s="97"/>
      <c r="N55" s="97"/>
      <c r="O55" s="97"/>
      <c r="P55" s="40"/>
    </row>
    <row r="56" ht="15.75" customHeight="1">
      <c r="A56" s="40"/>
      <c r="B56" s="125" t="s">
        <v>71</v>
      </c>
      <c r="C56" s="126"/>
      <c r="D56" s="127"/>
      <c r="E56" s="128"/>
      <c r="F56" s="129"/>
      <c r="G56" s="127"/>
      <c r="H56" s="130"/>
      <c r="I56" s="97"/>
      <c r="J56" s="97"/>
      <c r="K56" s="97"/>
      <c r="L56" s="131"/>
      <c r="M56" s="97"/>
      <c r="N56" s="97"/>
      <c r="O56" s="97"/>
      <c r="P56" s="40"/>
    </row>
    <row r="57" ht="15.75" customHeight="1">
      <c r="A57" s="40"/>
      <c r="B57" s="96"/>
      <c r="C57" s="96"/>
      <c r="D57" s="96"/>
      <c r="E57" s="96"/>
      <c r="F57" s="96"/>
      <c r="G57" s="96"/>
      <c r="H57" s="96"/>
      <c r="I57" s="97"/>
      <c r="J57" s="97"/>
      <c r="K57" s="97"/>
      <c r="L57" s="131"/>
      <c r="M57" s="97"/>
      <c r="N57" s="97"/>
      <c r="O57" s="97"/>
      <c r="P57" s="40"/>
    </row>
    <row r="58" ht="15.75" customHeight="1">
      <c r="A58" s="40"/>
      <c r="B58" s="96"/>
      <c r="C58" s="96"/>
      <c r="D58" s="96"/>
      <c r="E58" s="96"/>
      <c r="F58" s="96"/>
      <c r="G58" s="96"/>
      <c r="H58" s="96"/>
      <c r="I58" s="97"/>
      <c r="J58" s="97"/>
      <c r="K58" s="97"/>
      <c r="L58" s="131"/>
      <c r="M58" s="97"/>
      <c r="N58" s="97"/>
      <c r="O58" s="97"/>
      <c r="P58" s="40"/>
    </row>
  </sheetData>
  <mergeCells count="77">
    <mergeCell ref="B30:J30"/>
    <mergeCell ref="B31:J31"/>
    <mergeCell ref="B32:J32"/>
    <mergeCell ref="B33:J33"/>
    <mergeCell ref="J34:K34"/>
    <mergeCell ref="M35:O35"/>
    <mergeCell ref="M36:O36"/>
    <mergeCell ref="C34:H36"/>
    <mergeCell ref="B37:J37"/>
    <mergeCell ref="B38:J38"/>
    <mergeCell ref="B39:J39"/>
    <mergeCell ref="B40:J40"/>
    <mergeCell ref="B41:J41"/>
    <mergeCell ref="B42:J42"/>
    <mergeCell ref="J49:K49"/>
    <mergeCell ref="M49:O49"/>
    <mergeCell ref="M50:O50"/>
    <mergeCell ref="J52:K52"/>
    <mergeCell ref="J53:K53"/>
    <mergeCell ref="M53:O53"/>
    <mergeCell ref="J54:K54"/>
    <mergeCell ref="M54:O54"/>
    <mergeCell ref="C48:H50"/>
    <mergeCell ref="B51:B52"/>
    <mergeCell ref="C51:E51"/>
    <mergeCell ref="F51:H51"/>
    <mergeCell ref="B43:J43"/>
    <mergeCell ref="B44:J44"/>
    <mergeCell ref="B45:J45"/>
    <mergeCell ref="B46:J46"/>
    <mergeCell ref="B47:J47"/>
    <mergeCell ref="J48:K48"/>
    <mergeCell ref="J50:K50"/>
    <mergeCell ref="C1:H2"/>
    <mergeCell ref="I1:O2"/>
    <mergeCell ref="C3:E3"/>
    <mergeCell ref="F3:H3"/>
    <mergeCell ref="I3:J3"/>
    <mergeCell ref="K3:O3"/>
    <mergeCell ref="C4:E4"/>
    <mergeCell ref="K4:O4"/>
    <mergeCell ref="F4:H4"/>
    <mergeCell ref="I4:J4"/>
    <mergeCell ref="C5:E6"/>
    <mergeCell ref="F5:H6"/>
    <mergeCell ref="I5:J6"/>
    <mergeCell ref="K5:O6"/>
    <mergeCell ref="C7:E8"/>
    <mergeCell ref="K7:O8"/>
    <mergeCell ref="F7:H8"/>
    <mergeCell ref="I7:J8"/>
    <mergeCell ref="B9:J9"/>
    <mergeCell ref="B10:J10"/>
    <mergeCell ref="B11:J11"/>
    <mergeCell ref="B12:J12"/>
    <mergeCell ref="B13:J13"/>
    <mergeCell ref="J20:K20"/>
    <mergeCell ref="J21:K21"/>
    <mergeCell ref="M21:O21"/>
    <mergeCell ref="J22:K22"/>
    <mergeCell ref="M22:O22"/>
    <mergeCell ref="B14:J14"/>
    <mergeCell ref="B15:J15"/>
    <mergeCell ref="B16:J16"/>
    <mergeCell ref="B17:J17"/>
    <mergeCell ref="B18:J18"/>
    <mergeCell ref="B19:J19"/>
    <mergeCell ref="C20:H22"/>
    <mergeCell ref="B23:J23"/>
    <mergeCell ref="B24:J24"/>
    <mergeCell ref="B25:J25"/>
    <mergeCell ref="B26:J26"/>
    <mergeCell ref="B27:J27"/>
    <mergeCell ref="B28:J28"/>
    <mergeCell ref="B29:J29"/>
    <mergeCell ref="J35:K35"/>
    <mergeCell ref="J36:K36"/>
  </mergeCells>
  <dataValidations>
    <dataValidation type="custom" allowBlank="1" showDropDown="1" showInputMessage="1" showErrorMessage="1" prompt="Enter a number" sqref="K10:K17 O10:O19 K24:K32 O24:O33 K38:K46 O38:O47">
      <formula1>ISNUMBER(K10)</formula1>
    </dataValidation>
    <dataValidation type="list" allowBlank="1" showInputMessage="1" showErrorMessage="1" prompt="Click and enter a valid scale from the list of items. The valid scales are Letter, 0-100, 0-4, and None" sqref="B3">
      <formula1>"Letter,0-4,0-100,None"</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8.88"/>
    <col customWidth="1" min="3" max="8" width="6.38"/>
    <col customWidth="1" hidden="1" min="9" max="9" width="18.88"/>
    <col customWidth="1" min="10" max="10" width="18.88"/>
    <col customWidth="1" min="11" max="11" width="6.38"/>
    <col customWidth="1" hidden="1" min="12" max="12" width="18.88"/>
    <col customWidth="1" min="13" max="13" width="6.38"/>
    <col customWidth="1" hidden="1" min="14" max="14" width="6.38"/>
    <col customWidth="1" min="15" max="15" width="6.38"/>
  </cols>
  <sheetData>
    <row r="1" ht="15.75" customHeight="1">
      <c r="A1" s="58"/>
      <c r="B1" s="1"/>
      <c r="C1" s="71" t="s">
        <v>5</v>
      </c>
      <c r="I1" s="58" t="s">
        <v>6</v>
      </c>
      <c r="P1" s="72"/>
    </row>
    <row r="2" ht="15.75" customHeight="1">
      <c r="A2" s="58"/>
      <c r="B2" s="74" t="s">
        <v>50</v>
      </c>
      <c r="P2" s="72"/>
    </row>
    <row r="3" ht="15.75" customHeight="1">
      <c r="A3" s="73"/>
      <c r="B3" s="75" t="s">
        <v>51</v>
      </c>
      <c r="C3" s="59" t="s">
        <v>8</v>
      </c>
      <c r="F3" s="60" t="str">
        <f>'Getting Started'!$G$10</f>
        <v/>
      </c>
      <c r="I3" s="59" t="s">
        <v>9</v>
      </c>
      <c r="K3" s="60" t="str">
        <f>'Getting Started'!$I$10</f>
        <v/>
      </c>
      <c r="P3" s="40"/>
    </row>
    <row r="4" ht="15.75" customHeight="1">
      <c r="A4" s="73"/>
      <c r="B4" s="133" t="s">
        <v>72</v>
      </c>
      <c r="C4" s="59" t="s">
        <v>11</v>
      </c>
      <c r="F4" s="61" t="str">
        <f>'Getting Started'!$G$11</f>
        <v/>
      </c>
      <c r="I4" s="59" t="s">
        <v>12</v>
      </c>
      <c r="K4" s="60" t="str">
        <f>'Getting Started'!$I$11</f>
        <v/>
      </c>
      <c r="P4" s="40"/>
    </row>
    <row r="5" ht="15.75" customHeight="1">
      <c r="A5" s="73"/>
      <c r="B5" s="40" t="str">
        <f t="array" ref="B5">GPA({'9th Grade (Trimester)'!K10:K19,'9th Grade (Trimester)'!M10:M19,'9th Grade (Trimester)'!O10:O19;'9th Grade (Trimester)'!K24:K33,'9th Grade (Trimester)'!M24:M33,'9th Grade (Trimester)'!O24:O33;'9th Grade (Trimester)'!K38:K47,'9th Grade (Trimester)'!M38:M47,'9th Grade (Trimester)'!O38:O47;K10:K19,M10:M19,O10:O19;K24:K33,M24:M33,O24:O33;K38:K47,M38:M47,O38:O47},1,2)</f>
        <v>Loading...</v>
      </c>
      <c r="C5" s="59" t="s">
        <v>13</v>
      </c>
      <c r="F5" s="60" t="str">
        <f>'Getting Started'!$G$12</f>
        <v/>
      </c>
      <c r="I5" s="59" t="s">
        <v>14</v>
      </c>
      <c r="K5" s="60" t="str">
        <f>'Getting Started'!$I$12</f>
        <v/>
      </c>
      <c r="P5" s="40"/>
    </row>
    <row r="6" ht="15.75" customHeight="1">
      <c r="A6" s="73"/>
      <c r="B6" s="133" t="s">
        <v>64</v>
      </c>
      <c r="P6" s="40"/>
    </row>
    <row r="7" ht="15.75" customHeight="1">
      <c r="A7" s="73"/>
      <c r="B7" s="40" t="str">
        <f>IF('9th Grade (Trimester)'!B7+M54 = 0, "", '9th Grade (Trimester)'!B7+M54)</f>
        <v>Loading...</v>
      </c>
      <c r="C7" s="59" t="s">
        <v>15</v>
      </c>
      <c r="F7" s="62" t="str">
        <f>'Getting Started'!$G$14</f>
        <v/>
      </c>
      <c r="I7" s="59" t="s">
        <v>16</v>
      </c>
      <c r="K7" s="60" t="str">
        <f>'Getting Started'!$I$14</f>
        <v/>
      </c>
      <c r="P7" s="40"/>
    </row>
    <row r="8" ht="15.75" customHeight="1">
      <c r="A8" s="73"/>
      <c r="B8" s="19" t="s">
        <v>78</v>
      </c>
      <c r="P8" s="40"/>
    </row>
    <row r="9" ht="31.5" customHeight="1">
      <c r="A9" s="40"/>
      <c r="B9" s="76" t="s">
        <v>53</v>
      </c>
      <c r="C9" s="8"/>
      <c r="D9" s="8"/>
      <c r="E9" s="8"/>
      <c r="F9" s="8"/>
      <c r="G9" s="8"/>
      <c r="H9" s="8"/>
      <c r="I9" s="8"/>
      <c r="J9" s="77"/>
      <c r="K9" s="78" t="s">
        <v>54</v>
      </c>
      <c r="L9" s="79" t="s">
        <v>55</v>
      </c>
      <c r="M9" s="80" t="s">
        <v>56</v>
      </c>
      <c r="N9" s="81"/>
      <c r="O9" s="82" t="s">
        <v>57</v>
      </c>
      <c r="P9" s="1"/>
    </row>
    <row r="10" ht="15.75" customHeight="1">
      <c r="A10" s="40"/>
      <c r="B10" s="83"/>
      <c r="J10" s="47"/>
      <c r="K10" s="84"/>
      <c r="L10" s="85"/>
      <c r="M10" s="86"/>
      <c r="N10" s="87"/>
      <c r="O10" s="88"/>
      <c r="P10" s="1"/>
    </row>
    <row r="11" ht="15.75" customHeight="1">
      <c r="A11" s="40"/>
      <c r="B11" s="141"/>
      <c r="J11" s="47"/>
      <c r="K11" s="84"/>
      <c r="L11" s="85" t="b">
        <v>0</v>
      </c>
      <c r="M11" s="86"/>
      <c r="N11" s="142"/>
      <c r="O11" s="88"/>
      <c r="P11" s="40"/>
    </row>
    <row r="12" ht="15.75" customHeight="1">
      <c r="A12" s="40"/>
      <c r="B12" s="141"/>
      <c r="J12" s="47"/>
      <c r="K12" s="84"/>
      <c r="L12" s="143" t="b">
        <v>0</v>
      </c>
      <c r="M12" s="86"/>
      <c r="N12" s="142"/>
      <c r="O12" s="144"/>
      <c r="P12" s="40"/>
    </row>
    <row r="13" ht="15.75" customHeight="1">
      <c r="A13" s="40"/>
      <c r="B13" s="141"/>
      <c r="J13" s="47"/>
      <c r="K13" s="145"/>
      <c r="L13" s="85" t="b">
        <v>0</v>
      </c>
      <c r="M13" s="146"/>
      <c r="N13" s="142"/>
      <c r="O13" s="144"/>
      <c r="P13" s="40"/>
    </row>
    <row r="14" ht="15.75" customHeight="1">
      <c r="A14" s="40"/>
      <c r="B14" s="141"/>
      <c r="J14" s="47"/>
      <c r="K14" s="145"/>
      <c r="L14" s="85" t="b">
        <v>0</v>
      </c>
      <c r="M14" s="146"/>
      <c r="N14" s="142"/>
      <c r="O14" s="144"/>
      <c r="P14" s="40"/>
    </row>
    <row r="15" ht="15.75" customHeight="1">
      <c r="A15" s="40"/>
      <c r="B15" s="141"/>
      <c r="J15" s="47"/>
      <c r="K15" s="145"/>
      <c r="L15" s="85" t="b">
        <v>0</v>
      </c>
      <c r="M15" s="146"/>
      <c r="N15" s="142"/>
      <c r="O15" s="144"/>
      <c r="P15" s="40"/>
    </row>
    <row r="16" ht="15.75" customHeight="1">
      <c r="A16" s="40"/>
      <c r="B16" s="141"/>
      <c r="J16" s="47"/>
      <c r="K16" s="145"/>
      <c r="L16" s="143" t="b">
        <v>0</v>
      </c>
      <c r="M16" s="146"/>
      <c r="N16" s="142"/>
      <c r="O16" s="144"/>
      <c r="P16" s="40"/>
    </row>
    <row r="17" ht="15.75" customHeight="1">
      <c r="A17" s="40"/>
      <c r="B17" s="141"/>
      <c r="J17" s="47"/>
      <c r="K17" s="145"/>
      <c r="L17" s="143" t="b">
        <v>0</v>
      </c>
      <c r="M17" s="146"/>
      <c r="N17" s="142"/>
      <c r="O17" s="144"/>
      <c r="P17" s="40"/>
    </row>
    <row r="18" ht="15.75" customHeight="1">
      <c r="A18" s="40"/>
      <c r="B18" s="141"/>
      <c r="J18" s="47"/>
      <c r="K18" s="145"/>
      <c r="L18" s="143" t="b">
        <v>0</v>
      </c>
      <c r="M18" s="146"/>
      <c r="N18" s="142"/>
      <c r="O18" s="144"/>
      <c r="P18" s="40"/>
    </row>
    <row r="19" ht="15.75" customHeight="1">
      <c r="A19" s="40"/>
      <c r="B19" s="89"/>
      <c r="C19" s="16"/>
      <c r="D19" s="16"/>
      <c r="E19" s="16"/>
      <c r="F19" s="16"/>
      <c r="G19" s="16"/>
      <c r="H19" s="16"/>
      <c r="I19" s="16"/>
      <c r="J19" s="90"/>
      <c r="K19" s="91"/>
      <c r="L19" s="92" t="b">
        <v>0</v>
      </c>
      <c r="M19" s="93"/>
      <c r="N19" s="94"/>
      <c r="O19" s="95"/>
      <c r="P19" s="40"/>
    </row>
    <row r="20" ht="15.75" customHeight="1">
      <c r="A20" s="40"/>
      <c r="B20" s="147" t="s">
        <v>73</v>
      </c>
      <c r="C20" s="151"/>
      <c r="D20" s="137"/>
      <c r="E20" s="137"/>
      <c r="F20" s="137"/>
      <c r="G20" s="137"/>
      <c r="H20" s="137"/>
      <c r="I20" s="1"/>
      <c r="J20" s="101" t="s">
        <v>79</v>
      </c>
      <c r="K20" s="102"/>
      <c r="L20" s="1"/>
      <c r="M20" s="1"/>
      <c r="N20" s="97"/>
      <c r="O20" s="97"/>
      <c r="P20" s="40"/>
    </row>
    <row r="21" ht="15.75" customHeight="1">
      <c r="A21" s="40"/>
      <c r="B21" s="96"/>
      <c r="C21" s="149"/>
      <c r="I21" s="100"/>
      <c r="J21" s="108" t="s">
        <v>63</v>
      </c>
      <c r="K21" s="109"/>
      <c r="L21" s="110"/>
      <c r="M21" s="111" t="s">
        <v>64</v>
      </c>
      <c r="N21" s="109"/>
      <c r="O21" s="102"/>
      <c r="P21" s="40"/>
    </row>
    <row r="22" ht="15.75" customHeight="1">
      <c r="A22" s="40"/>
      <c r="B22" s="19" t="s">
        <v>80</v>
      </c>
      <c r="C22" s="152"/>
      <c r="D22" s="140"/>
      <c r="E22" s="140"/>
      <c r="F22" s="140"/>
      <c r="G22" s="140"/>
      <c r="H22" s="140"/>
      <c r="I22" s="100"/>
      <c r="J22" s="117" t="str">
        <f t="array" ref="J22">GPA({K10:K19,M10:M19,O10:O19},1,2)</f>
        <v>Loading...</v>
      </c>
      <c r="K22" s="118"/>
      <c r="L22" s="110"/>
      <c r="M22" s="119" t="str">
        <f t="array" ref="M22">CREDITSSUM({K10:K19,M10:M19},1,2)</f>
        <v>Loading...</v>
      </c>
      <c r="N22" s="118"/>
      <c r="O22" s="120"/>
      <c r="P22" s="40"/>
    </row>
    <row r="23" ht="31.5" customHeight="1">
      <c r="A23" s="40"/>
      <c r="B23" s="76" t="s">
        <v>53</v>
      </c>
      <c r="C23" s="8"/>
      <c r="D23" s="8"/>
      <c r="E23" s="8"/>
      <c r="F23" s="8"/>
      <c r="G23" s="8"/>
      <c r="H23" s="8"/>
      <c r="I23" s="8"/>
      <c r="J23" s="77"/>
      <c r="K23" s="78" t="s">
        <v>54</v>
      </c>
      <c r="L23" s="79" t="s">
        <v>55</v>
      </c>
      <c r="M23" s="80" t="s">
        <v>56</v>
      </c>
      <c r="N23" s="81"/>
      <c r="O23" s="82" t="s">
        <v>57</v>
      </c>
      <c r="P23" s="1"/>
    </row>
    <row r="24" ht="15.75" customHeight="1">
      <c r="A24" s="40"/>
      <c r="B24" s="83"/>
      <c r="J24" s="47"/>
      <c r="K24" s="84"/>
      <c r="L24" s="85"/>
      <c r="M24" s="86"/>
      <c r="N24" s="87"/>
      <c r="O24" s="88"/>
      <c r="P24" s="1"/>
    </row>
    <row r="25" ht="15.75" customHeight="1">
      <c r="A25" s="40"/>
      <c r="B25" s="141"/>
      <c r="J25" s="47"/>
      <c r="K25" s="84"/>
      <c r="L25" s="85" t="b">
        <v>0</v>
      </c>
      <c r="M25" s="86"/>
      <c r="N25" s="142"/>
      <c r="O25" s="88"/>
      <c r="P25" s="40"/>
    </row>
    <row r="26" ht="15.75" customHeight="1">
      <c r="A26" s="40"/>
      <c r="B26" s="141"/>
      <c r="J26" s="47"/>
      <c r="K26" s="84"/>
      <c r="L26" s="143" t="b">
        <v>0</v>
      </c>
      <c r="M26" s="86"/>
      <c r="N26" s="142"/>
      <c r="O26" s="144"/>
      <c r="P26" s="40"/>
    </row>
    <row r="27" ht="15.75" customHeight="1">
      <c r="A27" s="40"/>
      <c r="B27" s="141"/>
      <c r="J27" s="47"/>
      <c r="K27" s="145"/>
      <c r="L27" s="143" t="b">
        <v>0</v>
      </c>
      <c r="M27" s="146"/>
      <c r="N27" s="142"/>
      <c r="O27" s="144"/>
      <c r="P27" s="40"/>
    </row>
    <row r="28" ht="15.75" customHeight="1">
      <c r="A28" s="40"/>
      <c r="B28" s="141"/>
      <c r="J28" s="47"/>
      <c r="K28" s="145"/>
      <c r="L28" s="85" t="b">
        <v>0</v>
      </c>
      <c r="M28" s="146"/>
      <c r="N28" s="142"/>
      <c r="O28" s="144"/>
      <c r="P28" s="40"/>
    </row>
    <row r="29" ht="15.75" customHeight="1">
      <c r="A29" s="40"/>
      <c r="B29" s="141"/>
      <c r="J29" s="47"/>
      <c r="K29" s="145"/>
      <c r="L29" s="85" t="b">
        <v>0</v>
      </c>
      <c r="M29" s="146"/>
      <c r="N29" s="142"/>
      <c r="O29" s="144"/>
      <c r="P29" s="40"/>
    </row>
    <row r="30" ht="15.75" customHeight="1">
      <c r="A30" s="40"/>
      <c r="B30" s="141"/>
      <c r="J30" s="47"/>
      <c r="K30" s="146"/>
      <c r="L30" s="85" t="b">
        <v>0</v>
      </c>
      <c r="M30" s="146"/>
      <c r="N30" s="142"/>
      <c r="O30" s="144"/>
      <c r="P30" s="40"/>
    </row>
    <row r="31" ht="15.75" customHeight="1">
      <c r="A31" s="40"/>
      <c r="B31" s="141"/>
      <c r="J31" s="47"/>
      <c r="K31" s="145"/>
      <c r="L31" s="143" t="b">
        <v>0</v>
      </c>
      <c r="M31" s="146"/>
      <c r="N31" s="142"/>
      <c r="O31" s="144"/>
      <c r="P31" s="40"/>
    </row>
    <row r="32" ht="15.75" customHeight="1">
      <c r="A32" s="40"/>
      <c r="B32" s="141"/>
      <c r="J32" s="47"/>
      <c r="K32" s="145"/>
      <c r="L32" s="143" t="b">
        <v>0</v>
      </c>
      <c r="M32" s="146"/>
      <c r="N32" s="142"/>
      <c r="O32" s="144"/>
      <c r="P32" s="40"/>
    </row>
    <row r="33" ht="15.75" customHeight="1">
      <c r="A33" s="40"/>
      <c r="B33" s="89"/>
      <c r="C33" s="16"/>
      <c r="D33" s="16"/>
      <c r="E33" s="16"/>
      <c r="F33" s="16"/>
      <c r="G33" s="16"/>
      <c r="H33" s="16"/>
      <c r="I33" s="16"/>
      <c r="J33" s="90"/>
      <c r="K33" s="91"/>
      <c r="L33" s="92" t="b">
        <v>0</v>
      </c>
      <c r="M33" s="93"/>
      <c r="N33" s="94"/>
      <c r="O33" s="95"/>
      <c r="P33" s="40"/>
    </row>
    <row r="34" ht="15.75" customHeight="1">
      <c r="A34" s="40"/>
      <c r="B34" s="147" t="s">
        <v>73</v>
      </c>
      <c r="C34" s="151"/>
      <c r="D34" s="137"/>
      <c r="E34" s="137"/>
      <c r="F34" s="137"/>
      <c r="G34" s="137"/>
      <c r="H34" s="137"/>
      <c r="I34" s="1"/>
      <c r="J34" s="101" t="s">
        <v>81</v>
      </c>
      <c r="K34" s="102"/>
      <c r="L34" s="1"/>
      <c r="M34" s="1"/>
      <c r="N34" s="97"/>
      <c r="O34" s="97"/>
      <c r="P34" s="40"/>
    </row>
    <row r="35" ht="15.75" customHeight="1">
      <c r="A35" s="40"/>
      <c r="B35" s="96"/>
      <c r="C35" s="149"/>
      <c r="I35" s="100"/>
      <c r="J35" s="108" t="s">
        <v>63</v>
      </c>
      <c r="K35" s="109"/>
      <c r="L35" s="110"/>
      <c r="M35" s="111" t="s">
        <v>64</v>
      </c>
      <c r="N35" s="109"/>
      <c r="O35" s="102"/>
      <c r="P35" s="40"/>
    </row>
    <row r="36" ht="15.75" customHeight="1">
      <c r="A36" s="40"/>
      <c r="B36" s="19" t="s">
        <v>82</v>
      </c>
      <c r="C36" s="152"/>
      <c r="D36" s="140"/>
      <c r="E36" s="140"/>
      <c r="F36" s="140"/>
      <c r="G36" s="140"/>
      <c r="H36" s="140"/>
      <c r="I36" s="100"/>
      <c r="J36" s="117" t="str">
        <f t="array" ref="J36">GPA({K24:K33,M24:M33,O24:O33},1,2)</f>
        <v>Loading...</v>
      </c>
      <c r="K36" s="118"/>
      <c r="L36" s="110"/>
      <c r="M36" s="119" t="str">
        <f t="array" ref="M36">CREDITSSUM({K24:K33,M24:M33},1,2)</f>
        <v>Loading...</v>
      </c>
      <c r="N36" s="118"/>
      <c r="O36" s="120"/>
      <c r="P36" s="40"/>
    </row>
    <row r="37" ht="31.5" customHeight="1">
      <c r="A37" s="40"/>
      <c r="B37" s="76" t="s">
        <v>53</v>
      </c>
      <c r="C37" s="8"/>
      <c r="D37" s="8"/>
      <c r="E37" s="8"/>
      <c r="F37" s="8"/>
      <c r="G37" s="8"/>
      <c r="H37" s="8"/>
      <c r="I37" s="8"/>
      <c r="J37" s="77"/>
      <c r="K37" s="78" t="s">
        <v>54</v>
      </c>
      <c r="L37" s="79" t="s">
        <v>55</v>
      </c>
      <c r="M37" s="80" t="s">
        <v>56</v>
      </c>
      <c r="N37" s="81"/>
      <c r="O37" s="82" t="s">
        <v>57</v>
      </c>
      <c r="P37" s="1"/>
    </row>
    <row r="38" ht="15.75" customHeight="1">
      <c r="A38" s="40"/>
      <c r="B38" s="83"/>
      <c r="J38" s="47"/>
      <c r="K38" s="84"/>
      <c r="L38" s="85"/>
      <c r="M38" s="86"/>
      <c r="N38" s="87"/>
      <c r="O38" s="88"/>
      <c r="P38" s="1"/>
    </row>
    <row r="39" ht="15.75" customHeight="1">
      <c r="A39" s="40"/>
      <c r="B39" s="141"/>
      <c r="J39" s="47"/>
      <c r="K39" s="84"/>
      <c r="L39" s="85" t="b">
        <v>0</v>
      </c>
      <c r="M39" s="86"/>
      <c r="N39" s="142"/>
      <c r="O39" s="88"/>
      <c r="P39" s="40"/>
    </row>
    <row r="40" ht="15.75" customHeight="1">
      <c r="A40" s="40"/>
      <c r="B40" s="141"/>
      <c r="J40" s="47"/>
      <c r="K40" s="84"/>
      <c r="L40" s="143" t="b">
        <v>0</v>
      </c>
      <c r="M40" s="86"/>
      <c r="N40" s="142"/>
      <c r="O40" s="144"/>
      <c r="P40" s="40"/>
    </row>
    <row r="41" ht="15.75" customHeight="1">
      <c r="A41" s="40"/>
      <c r="B41" s="141"/>
      <c r="J41" s="47"/>
      <c r="K41" s="145"/>
      <c r="L41" s="143" t="b">
        <v>0</v>
      </c>
      <c r="M41" s="146"/>
      <c r="N41" s="142"/>
      <c r="O41" s="144"/>
      <c r="P41" s="40"/>
    </row>
    <row r="42" ht="15.75" customHeight="1">
      <c r="A42" s="40"/>
      <c r="B42" s="141"/>
      <c r="J42" s="47"/>
      <c r="K42" s="145"/>
      <c r="L42" s="85" t="b">
        <v>0</v>
      </c>
      <c r="M42" s="146"/>
      <c r="N42" s="142"/>
      <c r="O42" s="144"/>
      <c r="P42" s="40"/>
    </row>
    <row r="43" ht="15.75" customHeight="1">
      <c r="A43" s="40"/>
      <c r="B43" s="141"/>
      <c r="J43" s="47"/>
      <c r="K43" s="145"/>
      <c r="L43" s="85" t="b">
        <v>0</v>
      </c>
      <c r="M43" s="146"/>
      <c r="N43" s="142"/>
      <c r="O43" s="144"/>
      <c r="P43" s="40"/>
    </row>
    <row r="44" ht="15.75" customHeight="1">
      <c r="A44" s="40"/>
      <c r="B44" s="141"/>
      <c r="J44" s="47"/>
      <c r="K44" s="146"/>
      <c r="L44" s="85" t="b">
        <v>0</v>
      </c>
      <c r="M44" s="146"/>
      <c r="N44" s="142"/>
      <c r="O44" s="144"/>
      <c r="P44" s="40"/>
    </row>
    <row r="45" ht="15.75" customHeight="1">
      <c r="A45" s="40"/>
      <c r="B45" s="141"/>
      <c r="J45" s="47"/>
      <c r="K45" s="145"/>
      <c r="L45" s="143" t="b">
        <v>0</v>
      </c>
      <c r="M45" s="146"/>
      <c r="N45" s="142"/>
      <c r="O45" s="144"/>
      <c r="P45" s="40"/>
    </row>
    <row r="46" ht="15.75" customHeight="1">
      <c r="A46" s="40"/>
      <c r="B46" s="141"/>
      <c r="J46" s="47"/>
      <c r="K46" s="145"/>
      <c r="L46" s="143" t="b">
        <v>0</v>
      </c>
      <c r="M46" s="146"/>
      <c r="N46" s="142"/>
      <c r="O46" s="144"/>
      <c r="P46" s="40"/>
    </row>
    <row r="47" ht="15.75" customHeight="1">
      <c r="A47" s="40"/>
      <c r="B47" s="89"/>
      <c r="C47" s="16"/>
      <c r="D47" s="16"/>
      <c r="E47" s="16"/>
      <c r="F47" s="16"/>
      <c r="G47" s="16"/>
      <c r="H47" s="16"/>
      <c r="I47" s="16"/>
      <c r="J47" s="90"/>
      <c r="K47" s="91"/>
      <c r="L47" s="92" t="b">
        <v>0</v>
      </c>
      <c r="M47" s="93"/>
      <c r="N47" s="94"/>
      <c r="O47" s="95"/>
      <c r="P47" s="40"/>
    </row>
    <row r="48" ht="15.75" customHeight="1">
      <c r="A48" s="40"/>
      <c r="B48" s="147" t="s">
        <v>73</v>
      </c>
      <c r="C48" s="148"/>
      <c r="I48" s="1"/>
      <c r="J48" s="101" t="s">
        <v>83</v>
      </c>
      <c r="K48" s="102"/>
      <c r="L48" s="1"/>
      <c r="M48" s="1"/>
      <c r="N48" s="97"/>
      <c r="O48" s="97"/>
      <c r="P48" s="40"/>
    </row>
    <row r="49" ht="15.75" customHeight="1">
      <c r="A49" s="40"/>
      <c r="B49" s="96"/>
      <c r="C49" s="149"/>
      <c r="I49" s="100"/>
      <c r="J49" s="108" t="s">
        <v>63</v>
      </c>
      <c r="K49" s="109"/>
      <c r="L49" s="110"/>
      <c r="M49" s="111" t="s">
        <v>64</v>
      </c>
      <c r="N49" s="109"/>
      <c r="O49" s="102"/>
      <c r="P49" s="40"/>
    </row>
    <row r="50" ht="15.75" customHeight="1">
      <c r="A50" s="40"/>
      <c r="B50" s="98" t="s">
        <v>58</v>
      </c>
      <c r="C50" s="149"/>
      <c r="I50" s="100"/>
      <c r="J50" s="117" t="str">
        <f t="array" ref="J50">GPA({K38:K47,M38:M47,O38:O47},1,2)</f>
        <v>Loading...</v>
      </c>
      <c r="K50" s="118"/>
      <c r="L50" s="110"/>
      <c r="M50" s="119" t="str">
        <f t="array" ref="M50">CREDITSSUM({K38:K47,M38:M47},1,2)</f>
        <v>Loading...</v>
      </c>
      <c r="N50" s="118"/>
      <c r="O50" s="120"/>
      <c r="P50" s="40"/>
    </row>
    <row r="51" ht="15.75" customHeight="1">
      <c r="A51" s="40"/>
      <c r="B51" s="103" t="s">
        <v>60</v>
      </c>
      <c r="C51" s="104" t="s">
        <v>61</v>
      </c>
      <c r="D51" s="105"/>
      <c r="E51" s="106"/>
      <c r="F51" s="104" t="s">
        <v>62</v>
      </c>
      <c r="G51" s="105"/>
      <c r="H51" s="107"/>
      <c r="I51" s="110"/>
      <c r="J51" s="1"/>
      <c r="K51" s="1"/>
      <c r="L51" s="1"/>
      <c r="M51" s="1"/>
      <c r="N51" s="1"/>
      <c r="O51" s="1"/>
      <c r="P51" s="40"/>
    </row>
    <row r="52" ht="15.75" customHeight="1">
      <c r="A52" s="40"/>
      <c r="B52" s="112"/>
      <c r="C52" s="113" t="s">
        <v>65</v>
      </c>
      <c r="D52" s="114" t="s">
        <v>66</v>
      </c>
      <c r="E52" s="115" t="s">
        <v>67</v>
      </c>
      <c r="F52" s="113" t="s">
        <v>65</v>
      </c>
      <c r="G52" s="114" t="s">
        <v>66</v>
      </c>
      <c r="H52" s="116" t="s">
        <v>67</v>
      </c>
      <c r="I52" s="110"/>
      <c r="J52" s="101" t="s">
        <v>59</v>
      </c>
      <c r="K52" s="102"/>
      <c r="L52" s="1"/>
      <c r="M52" s="1"/>
      <c r="N52" s="97"/>
      <c r="O52" s="97"/>
      <c r="P52" s="40"/>
    </row>
    <row r="53" ht="15.75" customHeight="1">
      <c r="A53" s="40"/>
      <c r="B53" s="132" t="s">
        <v>68</v>
      </c>
      <c r="C53" s="122"/>
      <c r="D53" s="84"/>
      <c r="E53" s="123"/>
      <c r="F53" s="86"/>
      <c r="G53" s="84"/>
      <c r="H53" s="124"/>
      <c r="I53" s="110"/>
      <c r="J53" s="108" t="s">
        <v>63</v>
      </c>
      <c r="K53" s="109"/>
      <c r="L53" s="110"/>
      <c r="M53" s="111" t="s">
        <v>64</v>
      </c>
      <c r="N53" s="109"/>
      <c r="O53" s="102"/>
      <c r="P53" s="40"/>
    </row>
    <row r="54" ht="15.75" customHeight="1">
      <c r="A54" s="40"/>
      <c r="B54" s="132" t="s">
        <v>69</v>
      </c>
      <c r="C54" s="122"/>
      <c r="D54" s="84"/>
      <c r="E54" s="123"/>
      <c r="F54" s="86"/>
      <c r="G54" s="84"/>
      <c r="H54" s="124"/>
      <c r="I54" s="110"/>
      <c r="J54" s="117" t="str">
        <f t="array" ref="J54">GPA({K10:K19,M10:M19,O10:O19;K24:K33,M24:M33,O24:O33;K38:K47,M38:M47,O38:O47},1,2)</f>
        <v>Loading...</v>
      </c>
      <c r="K54" s="118"/>
      <c r="L54" s="110"/>
      <c r="M54" s="119" t="str">
        <f t="array" ref="M54">CREDITSSUM({K10:K19,M10:M19;K24:K33,M24:M33;K38:K47,M38:M47},1,2)</f>
        <v>Loading...</v>
      </c>
      <c r="N54" s="118"/>
      <c r="O54" s="120"/>
      <c r="P54" s="40"/>
    </row>
    <row r="55" ht="15.75" customHeight="1">
      <c r="A55" s="40"/>
      <c r="B55" s="121" t="s">
        <v>70</v>
      </c>
      <c r="C55" s="122"/>
      <c r="D55" s="84"/>
      <c r="E55" s="123"/>
      <c r="F55" s="86"/>
      <c r="G55" s="84"/>
      <c r="H55" s="124"/>
      <c r="I55" s="97"/>
      <c r="J55" s="97"/>
      <c r="K55" s="97"/>
      <c r="L55" s="131"/>
      <c r="M55" s="97"/>
      <c r="N55" s="97"/>
      <c r="O55" s="97"/>
      <c r="P55" s="40"/>
    </row>
    <row r="56" ht="15.75" customHeight="1">
      <c r="A56" s="40"/>
      <c r="B56" s="125" t="s">
        <v>71</v>
      </c>
      <c r="C56" s="126"/>
      <c r="D56" s="127"/>
      <c r="E56" s="128"/>
      <c r="F56" s="129"/>
      <c r="G56" s="127"/>
      <c r="H56" s="130"/>
      <c r="I56" s="97"/>
      <c r="J56" s="97"/>
      <c r="K56" s="97"/>
      <c r="L56" s="131"/>
      <c r="M56" s="97"/>
      <c r="N56" s="97"/>
      <c r="O56" s="97"/>
      <c r="P56" s="40"/>
    </row>
    <row r="57" ht="15.75" customHeight="1">
      <c r="A57" s="40"/>
      <c r="B57" s="96"/>
      <c r="C57" s="96"/>
      <c r="D57" s="96"/>
      <c r="E57" s="96"/>
      <c r="F57" s="96"/>
      <c r="G57" s="96"/>
      <c r="H57" s="96"/>
      <c r="I57" s="97"/>
      <c r="J57" s="97"/>
      <c r="K57" s="97"/>
      <c r="L57" s="131"/>
      <c r="M57" s="97"/>
      <c r="N57" s="97"/>
      <c r="O57" s="97"/>
      <c r="P57" s="40"/>
    </row>
    <row r="58" ht="15.75" customHeight="1">
      <c r="A58" s="40"/>
      <c r="B58" s="96"/>
      <c r="C58" s="96"/>
      <c r="D58" s="96"/>
      <c r="E58" s="96"/>
      <c r="F58" s="96"/>
      <c r="G58" s="96"/>
      <c r="H58" s="96"/>
      <c r="I58" s="97"/>
      <c r="J58" s="97"/>
      <c r="K58" s="97"/>
      <c r="L58" s="131"/>
      <c r="M58" s="97"/>
      <c r="N58" s="97"/>
      <c r="O58" s="97"/>
      <c r="P58" s="40"/>
    </row>
  </sheetData>
  <mergeCells count="77">
    <mergeCell ref="B30:J30"/>
    <mergeCell ref="B31:J31"/>
    <mergeCell ref="B32:J32"/>
    <mergeCell ref="B33:J33"/>
    <mergeCell ref="J34:K34"/>
    <mergeCell ref="M35:O35"/>
    <mergeCell ref="M36:O36"/>
    <mergeCell ref="C34:H36"/>
    <mergeCell ref="B37:J37"/>
    <mergeCell ref="B38:J38"/>
    <mergeCell ref="B39:J39"/>
    <mergeCell ref="B40:J40"/>
    <mergeCell ref="B41:J41"/>
    <mergeCell ref="B42:J42"/>
    <mergeCell ref="J49:K49"/>
    <mergeCell ref="M49:O49"/>
    <mergeCell ref="M50:O50"/>
    <mergeCell ref="J52:K52"/>
    <mergeCell ref="J53:K53"/>
    <mergeCell ref="M53:O53"/>
    <mergeCell ref="J54:K54"/>
    <mergeCell ref="M54:O54"/>
    <mergeCell ref="C48:H50"/>
    <mergeCell ref="B51:B52"/>
    <mergeCell ref="C51:E51"/>
    <mergeCell ref="F51:H51"/>
    <mergeCell ref="B43:J43"/>
    <mergeCell ref="B44:J44"/>
    <mergeCell ref="B45:J45"/>
    <mergeCell ref="B46:J46"/>
    <mergeCell ref="B47:J47"/>
    <mergeCell ref="J48:K48"/>
    <mergeCell ref="J50:K50"/>
    <mergeCell ref="C1:H2"/>
    <mergeCell ref="I1:O2"/>
    <mergeCell ref="C3:E3"/>
    <mergeCell ref="F3:H3"/>
    <mergeCell ref="I3:J3"/>
    <mergeCell ref="K3:O3"/>
    <mergeCell ref="C4:E4"/>
    <mergeCell ref="K4:O4"/>
    <mergeCell ref="F4:H4"/>
    <mergeCell ref="I4:J4"/>
    <mergeCell ref="C5:E6"/>
    <mergeCell ref="F5:H6"/>
    <mergeCell ref="I5:J6"/>
    <mergeCell ref="K5:O6"/>
    <mergeCell ref="C7:E8"/>
    <mergeCell ref="K7:O8"/>
    <mergeCell ref="F7:H8"/>
    <mergeCell ref="I7:J8"/>
    <mergeCell ref="B9:J9"/>
    <mergeCell ref="B10:J10"/>
    <mergeCell ref="B11:J11"/>
    <mergeCell ref="B12:J12"/>
    <mergeCell ref="B13:J13"/>
    <mergeCell ref="J20:K20"/>
    <mergeCell ref="J21:K21"/>
    <mergeCell ref="M21:O21"/>
    <mergeCell ref="J22:K22"/>
    <mergeCell ref="M22:O22"/>
    <mergeCell ref="B14:J14"/>
    <mergeCell ref="B15:J15"/>
    <mergeCell ref="B16:J16"/>
    <mergeCell ref="B17:J17"/>
    <mergeCell ref="B18:J18"/>
    <mergeCell ref="B19:J19"/>
    <mergeCell ref="C20:H22"/>
    <mergeCell ref="B23:J23"/>
    <mergeCell ref="B24:J24"/>
    <mergeCell ref="B25:J25"/>
    <mergeCell ref="B26:J26"/>
    <mergeCell ref="B27:J27"/>
    <mergeCell ref="B28:J28"/>
    <mergeCell ref="B29:J29"/>
    <mergeCell ref="J35:K35"/>
    <mergeCell ref="J36:K36"/>
  </mergeCells>
  <dataValidations>
    <dataValidation type="custom" allowBlank="1" showDropDown="1" showInputMessage="1" showErrorMessage="1" prompt="Enter a number" sqref="K10:K17 O10:O19 K24:K32 O24:O33 K38:K46 O38:O47">
      <formula1>ISNUMBER(K10)</formula1>
    </dataValidation>
    <dataValidation type="list" allowBlank="1" showInputMessage="1" showErrorMessage="1" prompt="Click and enter a valid scale from the list of items. The valid scales are Letter, 0-100, 0-4, and None" sqref="B3">
      <formula1>"Letter,0-4,0-100,None"</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8.88"/>
    <col customWidth="1" min="3" max="8" width="6.38"/>
    <col customWidth="1" hidden="1" min="9" max="9" width="18.88"/>
    <col customWidth="1" min="10" max="10" width="18.88"/>
    <col customWidth="1" min="11" max="11" width="6.38"/>
    <col customWidth="1" hidden="1" min="12" max="12" width="18.88"/>
    <col customWidth="1" min="13" max="13" width="6.38"/>
    <col customWidth="1" hidden="1" min="14" max="14" width="6.38"/>
    <col customWidth="1" min="15" max="15" width="6.38"/>
  </cols>
  <sheetData>
    <row r="1" ht="15.75" customHeight="1">
      <c r="A1" s="58"/>
      <c r="B1" s="1"/>
      <c r="C1" s="71" t="s">
        <v>5</v>
      </c>
      <c r="I1" s="58" t="s">
        <v>6</v>
      </c>
      <c r="P1" s="72"/>
    </row>
    <row r="2" ht="15.75" customHeight="1">
      <c r="A2" s="58"/>
      <c r="B2" s="74" t="s">
        <v>50</v>
      </c>
      <c r="P2" s="72"/>
    </row>
    <row r="3" ht="15.75" customHeight="1">
      <c r="A3" s="73"/>
      <c r="B3" s="75" t="s">
        <v>51</v>
      </c>
      <c r="C3" s="59" t="s">
        <v>8</v>
      </c>
      <c r="F3" s="60" t="str">
        <f>'Getting Started'!$G$10</f>
        <v/>
      </c>
      <c r="I3" s="59" t="s">
        <v>9</v>
      </c>
      <c r="K3" s="60" t="str">
        <f>'Getting Started'!$I$10</f>
        <v/>
      </c>
      <c r="P3" s="40"/>
    </row>
    <row r="4" ht="15.75" customHeight="1">
      <c r="A4" s="73"/>
      <c r="B4" s="133" t="s">
        <v>72</v>
      </c>
      <c r="C4" s="59" t="s">
        <v>11</v>
      </c>
      <c r="F4" s="61" t="str">
        <f>'Getting Started'!$G$11</f>
        <v/>
      </c>
      <c r="I4" s="59" t="s">
        <v>12</v>
      </c>
      <c r="K4" s="60" t="str">
        <f>'Getting Started'!$I$11</f>
        <v/>
      </c>
      <c r="P4" s="40"/>
    </row>
    <row r="5" ht="15.75" customHeight="1">
      <c r="A5" s="73"/>
      <c r="B5" s="40" t="str">
        <f t="array" ref="B5">GPA({'9th Grade (Trimester)'!K10:K19,'9th Grade (Trimester)'!M10:M19,'9th Grade (Trimester)'!O10:O19;'9th Grade (Trimester)'!K24:K33,'9th Grade (Trimester)'!M24:M33,'9th Grade (Trimester)'!O24:O33;'9th Grade (Trimester)'!K38:K47,'9th Grade (Trimester)'!M38:M47,'9th Grade (Trimester)'!O38:O47;'10th Grade (Trimester)'!K10:K19,'10th Grade (Trimester)'!M10:M19,'10th Grade (Trimester)'!O10:O19;'10th Grade (Trimester)'!K24:K33,'10th Grade (Trimester)'!M24:M33,'10th Grade (Trimester)'!O24:O33;'10th Grade (Trimester)'!K38:K47,'10th Grade (Trimester)'!M38:M47,'10th Grade (Trimester)'!O38:O47;K10:K19,M10:M19,O10:O19;K24:K33,M24:M33,O24:O33;K38:K47,M38:M47,O38:O47},1,2)</f>
        <v>Loading...</v>
      </c>
      <c r="C5" s="59" t="s">
        <v>13</v>
      </c>
      <c r="F5" s="60" t="str">
        <f>'Getting Started'!$G$12</f>
        <v/>
      </c>
      <c r="I5" s="59" t="s">
        <v>14</v>
      </c>
      <c r="K5" s="60" t="str">
        <f>'Getting Started'!$I$12</f>
        <v/>
      </c>
      <c r="P5" s="40"/>
    </row>
    <row r="6" ht="15.75" customHeight="1">
      <c r="A6" s="73"/>
      <c r="B6" s="133" t="s">
        <v>64</v>
      </c>
      <c r="P6" s="40"/>
    </row>
    <row r="7" ht="15.75" customHeight="1">
      <c r="A7" s="73"/>
      <c r="B7" s="40" t="str">
        <f>IF('10th Grade (Trimester)'!B7+M54 = 0, "", '10th Grade (Trimester)'!B7+M54)</f>
        <v>Loading...</v>
      </c>
      <c r="C7" s="59" t="s">
        <v>15</v>
      </c>
      <c r="F7" s="62" t="str">
        <f>'Getting Started'!$G$14</f>
        <v/>
      </c>
      <c r="I7" s="59" t="s">
        <v>16</v>
      </c>
      <c r="K7" s="60" t="str">
        <f>'Getting Started'!$I$14</f>
        <v/>
      </c>
      <c r="P7" s="40"/>
    </row>
    <row r="8" ht="15.75" customHeight="1">
      <c r="A8" s="73"/>
      <c r="B8" s="19" t="s">
        <v>78</v>
      </c>
      <c r="P8" s="40"/>
    </row>
    <row r="9" ht="31.5" customHeight="1">
      <c r="A9" s="40"/>
      <c r="B9" s="76" t="s">
        <v>53</v>
      </c>
      <c r="C9" s="8"/>
      <c r="D9" s="8"/>
      <c r="E9" s="8"/>
      <c r="F9" s="8"/>
      <c r="G9" s="8"/>
      <c r="H9" s="8"/>
      <c r="I9" s="8"/>
      <c r="J9" s="77"/>
      <c r="K9" s="78" t="s">
        <v>54</v>
      </c>
      <c r="L9" s="79" t="s">
        <v>55</v>
      </c>
      <c r="M9" s="80" t="s">
        <v>56</v>
      </c>
      <c r="N9" s="81"/>
      <c r="O9" s="82" t="s">
        <v>57</v>
      </c>
      <c r="P9" s="1"/>
    </row>
    <row r="10" ht="15.75" customHeight="1">
      <c r="A10" s="40"/>
      <c r="B10" s="83"/>
      <c r="J10" s="47"/>
      <c r="K10" s="84"/>
      <c r="L10" s="85"/>
      <c r="M10" s="86"/>
      <c r="N10" s="87"/>
      <c r="O10" s="88"/>
      <c r="P10" s="1"/>
    </row>
    <row r="11" ht="15.75" customHeight="1">
      <c r="A11" s="40"/>
      <c r="B11" s="141"/>
      <c r="J11" s="47"/>
      <c r="K11" s="84"/>
      <c r="L11" s="85" t="b">
        <v>0</v>
      </c>
      <c r="M11" s="86"/>
      <c r="N11" s="142"/>
      <c r="O11" s="88"/>
      <c r="P11" s="40"/>
    </row>
    <row r="12" ht="15.75" customHeight="1">
      <c r="A12" s="40"/>
      <c r="B12" s="141"/>
      <c r="J12" s="47"/>
      <c r="K12" s="84"/>
      <c r="L12" s="143" t="b">
        <v>0</v>
      </c>
      <c r="M12" s="86"/>
      <c r="N12" s="142"/>
      <c r="O12" s="144"/>
      <c r="P12" s="40"/>
    </row>
    <row r="13" ht="15.75" customHeight="1">
      <c r="A13" s="40"/>
      <c r="B13" s="141"/>
      <c r="J13" s="47"/>
      <c r="K13" s="145"/>
      <c r="L13" s="85" t="b">
        <v>0</v>
      </c>
      <c r="M13" s="146"/>
      <c r="N13" s="142"/>
      <c r="O13" s="144"/>
      <c r="P13" s="40"/>
    </row>
    <row r="14" ht="15.75" customHeight="1">
      <c r="A14" s="40"/>
      <c r="B14" s="141"/>
      <c r="J14" s="47"/>
      <c r="K14" s="145"/>
      <c r="L14" s="85" t="b">
        <v>0</v>
      </c>
      <c r="M14" s="146"/>
      <c r="N14" s="142"/>
      <c r="O14" s="144"/>
      <c r="P14" s="40"/>
    </row>
    <row r="15" ht="15.75" customHeight="1">
      <c r="A15" s="40"/>
      <c r="B15" s="141"/>
      <c r="J15" s="47"/>
      <c r="K15" s="145"/>
      <c r="L15" s="85" t="b">
        <v>0</v>
      </c>
      <c r="M15" s="146"/>
      <c r="N15" s="142"/>
      <c r="O15" s="144"/>
      <c r="P15" s="40"/>
    </row>
    <row r="16" ht="15.75" customHeight="1">
      <c r="A16" s="40"/>
      <c r="B16" s="141"/>
      <c r="J16" s="47"/>
      <c r="K16" s="145"/>
      <c r="L16" s="143" t="b">
        <v>0</v>
      </c>
      <c r="M16" s="146"/>
      <c r="N16" s="142"/>
      <c r="O16" s="144"/>
      <c r="P16" s="40"/>
    </row>
    <row r="17" ht="15.75" customHeight="1">
      <c r="A17" s="40"/>
      <c r="B17" s="141"/>
      <c r="J17" s="47"/>
      <c r="K17" s="145"/>
      <c r="L17" s="143" t="b">
        <v>0</v>
      </c>
      <c r="M17" s="146"/>
      <c r="N17" s="142"/>
      <c r="O17" s="144"/>
      <c r="P17" s="40"/>
    </row>
    <row r="18" ht="15.75" customHeight="1">
      <c r="A18" s="40"/>
      <c r="B18" s="141"/>
      <c r="J18" s="47"/>
      <c r="K18" s="145"/>
      <c r="L18" s="143" t="b">
        <v>0</v>
      </c>
      <c r="M18" s="146"/>
      <c r="N18" s="142"/>
      <c r="O18" s="144"/>
      <c r="P18" s="40"/>
    </row>
    <row r="19" ht="15.75" customHeight="1">
      <c r="A19" s="40"/>
      <c r="B19" s="89"/>
      <c r="C19" s="16"/>
      <c r="D19" s="16"/>
      <c r="E19" s="16"/>
      <c r="F19" s="16"/>
      <c r="G19" s="16"/>
      <c r="H19" s="16"/>
      <c r="I19" s="16"/>
      <c r="J19" s="90"/>
      <c r="K19" s="91"/>
      <c r="L19" s="92" t="b">
        <v>0</v>
      </c>
      <c r="M19" s="93"/>
      <c r="N19" s="94"/>
      <c r="O19" s="95"/>
      <c r="P19" s="40"/>
    </row>
    <row r="20" ht="15.75" customHeight="1">
      <c r="A20" s="40"/>
      <c r="B20" s="147" t="s">
        <v>73</v>
      </c>
      <c r="C20" s="151"/>
      <c r="D20" s="137"/>
      <c r="E20" s="137"/>
      <c r="F20" s="137"/>
      <c r="G20" s="137"/>
      <c r="H20" s="137"/>
      <c r="I20" s="1"/>
      <c r="J20" s="101" t="s">
        <v>79</v>
      </c>
      <c r="K20" s="102"/>
      <c r="L20" s="1"/>
      <c r="M20" s="1"/>
      <c r="N20" s="97"/>
      <c r="O20" s="97"/>
      <c r="P20" s="40"/>
    </row>
    <row r="21" ht="15.75" customHeight="1">
      <c r="A21" s="40"/>
      <c r="B21" s="96"/>
      <c r="C21" s="149"/>
      <c r="I21" s="100"/>
      <c r="J21" s="108" t="s">
        <v>63</v>
      </c>
      <c r="K21" s="109"/>
      <c r="L21" s="110"/>
      <c r="M21" s="111" t="s">
        <v>64</v>
      </c>
      <c r="N21" s="109"/>
      <c r="O21" s="102"/>
      <c r="P21" s="40"/>
    </row>
    <row r="22" ht="15.75" customHeight="1">
      <c r="A22" s="40"/>
      <c r="B22" s="19" t="s">
        <v>80</v>
      </c>
      <c r="C22" s="152"/>
      <c r="D22" s="140"/>
      <c r="E22" s="140"/>
      <c r="F22" s="140"/>
      <c r="G22" s="140"/>
      <c r="H22" s="140"/>
      <c r="I22" s="100"/>
      <c r="J22" s="117" t="str">
        <f t="array" ref="J22">GPA({K10:K19,M10:M19,O10:O19},1,2)</f>
        <v>Loading...</v>
      </c>
      <c r="K22" s="118"/>
      <c r="L22" s="110"/>
      <c r="M22" s="119" t="str">
        <f t="array" ref="M22">CREDITSSUM({K10:K19,M10:M19},1,2)</f>
        <v>Loading...</v>
      </c>
      <c r="N22" s="118"/>
      <c r="O22" s="120"/>
      <c r="P22" s="40"/>
    </row>
    <row r="23" ht="31.5" customHeight="1">
      <c r="A23" s="40"/>
      <c r="B23" s="76" t="s">
        <v>53</v>
      </c>
      <c r="C23" s="8"/>
      <c r="D23" s="8"/>
      <c r="E23" s="8"/>
      <c r="F23" s="8"/>
      <c r="G23" s="8"/>
      <c r="H23" s="8"/>
      <c r="I23" s="8"/>
      <c r="J23" s="77"/>
      <c r="K23" s="78" t="s">
        <v>54</v>
      </c>
      <c r="L23" s="79" t="s">
        <v>55</v>
      </c>
      <c r="M23" s="80" t="s">
        <v>56</v>
      </c>
      <c r="N23" s="81"/>
      <c r="O23" s="82" t="s">
        <v>57</v>
      </c>
      <c r="P23" s="1"/>
    </row>
    <row r="24" ht="15.75" customHeight="1">
      <c r="A24" s="40"/>
      <c r="B24" s="83"/>
      <c r="J24" s="47"/>
      <c r="K24" s="84"/>
      <c r="L24" s="85"/>
      <c r="M24" s="86"/>
      <c r="N24" s="87"/>
      <c r="O24" s="88"/>
      <c r="P24" s="1"/>
    </row>
    <row r="25" ht="15.75" customHeight="1">
      <c r="A25" s="40"/>
      <c r="B25" s="141"/>
      <c r="J25" s="47"/>
      <c r="K25" s="84"/>
      <c r="L25" s="85" t="b">
        <v>0</v>
      </c>
      <c r="M25" s="86"/>
      <c r="N25" s="142"/>
      <c r="O25" s="88"/>
      <c r="P25" s="40"/>
    </row>
    <row r="26" ht="15.75" customHeight="1">
      <c r="A26" s="40"/>
      <c r="B26" s="141"/>
      <c r="J26" s="47"/>
      <c r="K26" s="84"/>
      <c r="L26" s="143" t="b">
        <v>0</v>
      </c>
      <c r="M26" s="86"/>
      <c r="N26" s="142"/>
      <c r="O26" s="144"/>
      <c r="P26" s="40"/>
    </row>
    <row r="27" ht="15.75" customHeight="1">
      <c r="A27" s="40"/>
      <c r="B27" s="141"/>
      <c r="J27" s="47"/>
      <c r="K27" s="145"/>
      <c r="L27" s="143" t="b">
        <v>0</v>
      </c>
      <c r="M27" s="146"/>
      <c r="N27" s="142"/>
      <c r="O27" s="144"/>
      <c r="P27" s="40"/>
    </row>
    <row r="28" ht="15.75" customHeight="1">
      <c r="A28" s="40"/>
      <c r="B28" s="141"/>
      <c r="J28" s="47"/>
      <c r="K28" s="145"/>
      <c r="L28" s="85" t="b">
        <v>0</v>
      </c>
      <c r="M28" s="146"/>
      <c r="N28" s="142"/>
      <c r="O28" s="144"/>
      <c r="P28" s="40"/>
    </row>
    <row r="29" ht="15.75" customHeight="1">
      <c r="A29" s="40"/>
      <c r="B29" s="141"/>
      <c r="J29" s="47"/>
      <c r="K29" s="145"/>
      <c r="L29" s="85" t="b">
        <v>0</v>
      </c>
      <c r="M29" s="146"/>
      <c r="N29" s="142"/>
      <c r="O29" s="144"/>
      <c r="P29" s="40"/>
    </row>
    <row r="30" ht="15.75" customHeight="1">
      <c r="A30" s="40"/>
      <c r="B30" s="141"/>
      <c r="J30" s="47"/>
      <c r="K30" s="146"/>
      <c r="L30" s="85" t="b">
        <v>0</v>
      </c>
      <c r="M30" s="146"/>
      <c r="N30" s="142"/>
      <c r="O30" s="144"/>
      <c r="P30" s="40"/>
    </row>
    <row r="31" ht="15.75" customHeight="1">
      <c r="A31" s="40"/>
      <c r="B31" s="141"/>
      <c r="J31" s="47"/>
      <c r="K31" s="145"/>
      <c r="L31" s="143" t="b">
        <v>0</v>
      </c>
      <c r="M31" s="146"/>
      <c r="N31" s="142"/>
      <c r="O31" s="144"/>
      <c r="P31" s="40"/>
    </row>
    <row r="32" ht="15.75" customHeight="1">
      <c r="A32" s="40"/>
      <c r="B32" s="141"/>
      <c r="J32" s="47"/>
      <c r="K32" s="145"/>
      <c r="L32" s="143" t="b">
        <v>0</v>
      </c>
      <c r="M32" s="146"/>
      <c r="N32" s="142"/>
      <c r="O32" s="144"/>
      <c r="P32" s="40"/>
    </row>
    <row r="33" ht="15.75" customHeight="1">
      <c r="A33" s="40"/>
      <c r="B33" s="89"/>
      <c r="C33" s="16"/>
      <c r="D33" s="16"/>
      <c r="E33" s="16"/>
      <c r="F33" s="16"/>
      <c r="G33" s="16"/>
      <c r="H33" s="16"/>
      <c r="I33" s="16"/>
      <c r="J33" s="90"/>
      <c r="K33" s="91"/>
      <c r="L33" s="92" t="b">
        <v>0</v>
      </c>
      <c r="M33" s="93"/>
      <c r="N33" s="94"/>
      <c r="O33" s="95"/>
      <c r="P33" s="40"/>
    </row>
    <row r="34" ht="15.75" customHeight="1">
      <c r="A34" s="40"/>
      <c r="B34" s="147" t="s">
        <v>73</v>
      </c>
      <c r="C34" s="151"/>
      <c r="D34" s="137"/>
      <c r="E34" s="137"/>
      <c r="F34" s="137"/>
      <c r="G34" s="137"/>
      <c r="H34" s="137"/>
      <c r="I34" s="1"/>
      <c r="J34" s="101" t="s">
        <v>81</v>
      </c>
      <c r="K34" s="102"/>
      <c r="L34" s="1"/>
      <c r="M34" s="1"/>
      <c r="N34" s="97"/>
      <c r="O34" s="97"/>
      <c r="P34" s="40"/>
    </row>
    <row r="35" ht="15.75" customHeight="1">
      <c r="A35" s="40"/>
      <c r="B35" s="96"/>
      <c r="C35" s="149"/>
      <c r="I35" s="100"/>
      <c r="J35" s="108" t="s">
        <v>63</v>
      </c>
      <c r="K35" s="109"/>
      <c r="L35" s="110"/>
      <c r="M35" s="111" t="s">
        <v>64</v>
      </c>
      <c r="N35" s="109"/>
      <c r="O35" s="102"/>
      <c r="P35" s="40"/>
    </row>
    <row r="36" ht="15.75" customHeight="1">
      <c r="A36" s="40"/>
      <c r="B36" s="19" t="s">
        <v>82</v>
      </c>
      <c r="C36" s="152"/>
      <c r="D36" s="140"/>
      <c r="E36" s="140"/>
      <c r="F36" s="140"/>
      <c r="G36" s="140"/>
      <c r="H36" s="140"/>
      <c r="I36" s="100"/>
      <c r="J36" s="117" t="str">
        <f t="array" ref="J36">GPA({K24:K33,M24:M33,O24:O33},1,2)</f>
        <v>Loading...</v>
      </c>
      <c r="K36" s="118"/>
      <c r="L36" s="110"/>
      <c r="M36" s="119" t="str">
        <f t="array" ref="M36">CREDITSSUM({K24:K33,M24:M33},1,2)</f>
        <v>Loading...</v>
      </c>
      <c r="N36" s="118"/>
      <c r="O36" s="120"/>
      <c r="P36" s="40"/>
    </row>
    <row r="37" ht="31.5" customHeight="1">
      <c r="A37" s="40"/>
      <c r="B37" s="76" t="s">
        <v>53</v>
      </c>
      <c r="C37" s="8"/>
      <c r="D37" s="8"/>
      <c r="E37" s="8"/>
      <c r="F37" s="8"/>
      <c r="G37" s="8"/>
      <c r="H37" s="8"/>
      <c r="I37" s="8"/>
      <c r="J37" s="77"/>
      <c r="K37" s="78" t="s">
        <v>54</v>
      </c>
      <c r="L37" s="79" t="s">
        <v>55</v>
      </c>
      <c r="M37" s="80" t="s">
        <v>56</v>
      </c>
      <c r="N37" s="81"/>
      <c r="O37" s="82" t="s">
        <v>57</v>
      </c>
      <c r="P37" s="1"/>
    </row>
    <row r="38" ht="15.75" customHeight="1">
      <c r="A38" s="40"/>
      <c r="B38" s="83"/>
      <c r="J38" s="47"/>
      <c r="K38" s="84"/>
      <c r="L38" s="85"/>
      <c r="M38" s="86"/>
      <c r="N38" s="87"/>
      <c r="O38" s="88"/>
      <c r="P38" s="1"/>
    </row>
    <row r="39" ht="15.75" customHeight="1">
      <c r="A39" s="40"/>
      <c r="B39" s="141"/>
      <c r="J39" s="47"/>
      <c r="K39" s="84"/>
      <c r="L39" s="85" t="b">
        <v>0</v>
      </c>
      <c r="M39" s="86"/>
      <c r="N39" s="142"/>
      <c r="O39" s="88"/>
      <c r="P39" s="40"/>
    </row>
    <row r="40" ht="15.75" customHeight="1">
      <c r="A40" s="40"/>
      <c r="B40" s="141"/>
      <c r="J40" s="47"/>
      <c r="K40" s="84"/>
      <c r="L40" s="143" t="b">
        <v>0</v>
      </c>
      <c r="M40" s="86"/>
      <c r="N40" s="142"/>
      <c r="O40" s="144"/>
      <c r="P40" s="40"/>
    </row>
    <row r="41" ht="15.75" customHeight="1">
      <c r="A41" s="40"/>
      <c r="B41" s="141"/>
      <c r="J41" s="47"/>
      <c r="K41" s="145"/>
      <c r="L41" s="143" t="b">
        <v>0</v>
      </c>
      <c r="M41" s="146"/>
      <c r="N41" s="142"/>
      <c r="O41" s="144"/>
      <c r="P41" s="40"/>
    </row>
    <row r="42" ht="15.75" customHeight="1">
      <c r="A42" s="40"/>
      <c r="B42" s="141"/>
      <c r="J42" s="47"/>
      <c r="K42" s="145"/>
      <c r="L42" s="85" t="b">
        <v>0</v>
      </c>
      <c r="M42" s="146"/>
      <c r="N42" s="142"/>
      <c r="O42" s="144"/>
      <c r="P42" s="40"/>
    </row>
    <row r="43" ht="15.75" customHeight="1">
      <c r="A43" s="40"/>
      <c r="B43" s="141"/>
      <c r="J43" s="47"/>
      <c r="K43" s="145"/>
      <c r="L43" s="85" t="b">
        <v>0</v>
      </c>
      <c r="M43" s="146"/>
      <c r="N43" s="142"/>
      <c r="O43" s="144"/>
      <c r="P43" s="40"/>
    </row>
    <row r="44" ht="15.75" customHeight="1">
      <c r="A44" s="40"/>
      <c r="B44" s="141"/>
      <c r="J44" s="47"/>
      <c r="K44" s="146"/>
      <c r="L44" s="85" t="b">
        <v>0</v>
      </c>
      <c r="M44" s="146"/>
      <c r="N44" s="142"/>
      <c r="O44" s="144"/>
      <c r="P44" s="40"/>
    </row>
    <row r="45" ht="15.75" customHeight="1">
      <c r="A45" s="40"/>
      <c r="B45" s="141"/>
      <c r="J45" s="47"/>
      <c r="K45" s="145"/>
      <c r="L45" s="143" t="b">
        <v>0</v>
      </c>
      <c r="M45" s="146"/>
      <c r="N45" s="142"/>
      <c r="O45" s="144"/>
      <c r="P45" s="40"/>
    </row>
    <row r="46" ht="15.75" customHeight="1">
      <c r="A46" s="40"/>
      <c r="B46" s="141"/>
      <c r="J46" s="47"/>
      <c r="K46" s="145"/>
      <c r="L46" s="143" t="b">
        <v>0</v>
      </c>
      <c r="M46" s="146"/>
      <c r="N46" s="142"/>
      <c r="O46" s="144"/>
      <c r="P46" s="40"/>
    </row>
    <row r="47" ht="15.75" customHeight="1">
      <c r="A47" s="40"/>
      <c r="B47" s="89"/>
      <c r="C47" s="16"/>
      <c r="D47" s="16"/>
      <c r="E47" s="16"/>
      <c r="F47" s="16"/>
      <c r="G47" s="16"/>
      <c r="H47" s="16"/>
      <c r="I47" s="16"/>
      <c r="J47" s="90"/>
      <c r="K47" s="91"/>
      <c r="L47" s="92" t="b">
        <v>0</v>
      </c>
      <c r="M47" s="93"/>
      <c r="N47" s="94"/>
      <c r="O47" s="95"/>
      <c r="P47" s="40"/>
    </row>
    <row r="48" ht="15.75" customHeight="1">
      <c r="A48" s="40"/>
      <c r="B48" s="147" t="s">
        <v>73</v>
      </c>
      <c r="C48" s="148"/>
      <c r="I48" s="1"/>
      <c r="J48" s="101" t="s">
        <v>83</v>
      </c>
      <c r="K48" s="102"/>
      <c r="L48" s="1"/>
      <c r="M48" s="1"/>
      <c r="N48" s="97"/>
      <c r="O48" s="97"/>
      <c r="P48" s="40"/>
    </row>
    <row r="49" ht="15.75" customHeight="1">
      <c r="A49" s="40"/>
      <c r="B49" s="96"/>
      <c r="C49" s="149"/>
      <c r="I49" s="100"/>
      <c r="J49" s="108" t="s">
        <v>63</v>
      </c>
      <c r="K49" s="109"/>
      <c r="L49" s="110"/>
      <c r="M49" s="111" t="s">
        <v>64</v>
      </c>
      <c r="N49" s="109"/>
      <c r="O49" s="102"/>
      <c r="P49" s="40"/>
    </row>
    <row r="50" ht="15.75" customHeight="1">
      <c r="A50" s="40"/>
      <c r="B50" s="98" t="s">
        <v>58</v>
      </c>
      <c r="C50" s="149"/>
      <c r="I50" s="100"/>
      <c r="J50" s="117" t="str">
        <f t="array" ref="J50">GPA({K38:K47,M38:M47,O38:O47},1,2)</f>
        <v>Loading...</v>
      </c>
      <c r="K50" s="118"/>
      <c r="L50" s="110"/>
      <c r="M50" s="119" t="str">
        <f t="array" ref="M50">CREDITSSUM({K38:K47,M38:M47},1,2)</f>
        <v>Loading...</v>
      </c>
      <c r="N50" s="118"/>
      <c r="O50" s="120"/>
      <c r="P50" s="40"/>
    </row>
    <row r="51" ht="15.75" customHeight="1">
      <c r="A51" s="40"/>
      <c r="B51" s="103" t="s">
        <v>60</v>
      </c>
      <c r="C51" s="104" t="s">
        <v>61</v>
      </c>
      <c r="D51" s="105"/>
      <c r="E51" s="106"/>
      <c r="F51" s="104" t="s">
        <v>62</v>
      </c>
      <c r="G51" s="105"/>
      <c r="H51" s="107"/>
      <c r="I51" s="110"/>
      <c r="J51" s="1"/>
      <c r="K51" s="1"/>
      <c r="L51" s="1"/>
      <c r="M51" s="1"/>
      <c r="N51" s="1"/>
      <c r="O51" s="1"/>
      <c r="P51" s="40"/>
    </row>
    <row r="52" ht="15.75" customHeight="1">
      <c r="A52" s="40"/>
      <c r="B52" s="112"/>
      <c r="C52" s="113" t="s">
        <v>65</v>
      </c>
      <c r="D52" s="114" t="s">
        <v>66</v>
      </c>
      <c r="E52" s="115" t="s">
        <v>67</v>
      </c>
      <c r="F52" s="113" t="s">
        <v>65</v>
      </c>
      <c r="G52" s="114" t="s">
        <v>66</v>
      </c>
      <c r="H52" s="116" t="s">
        <v>67</v>
      </c>
      <c r="I52" s="110"/>
      <c r="J52" s="101" t="s">
        <v>59</v>
      </c>
      <c r="K52" s="102"/>
      <c r="L52" s="1"/>
      <c r="M52" s="1"/>
      <c r="N52" s="97"/>
      <c r="O52" s="97"/>
      <c r="P52" s="40"/>
    </row>
    <row r="53" ht="15.75" customHeight="1">
      <c r="A53" s="40"/>
      <c r="B53" s="132" t="s">
        <v>68</v>
      </c>
      <c r="C53" s="122"/>
      <c r="D53" s="84"/>
      <c r="E53" s="123"/>
      <c r="F53" s="86"/>
      <c r="G53" s="84"/>
      <c r="H53" s="124"/>
      <c r="I53" s="110"/>
      <c r="J53" s="108" t="s">
        <v>63</v>
      </c>
      <c r="K53" s="109"/>
      <c r="L53" s="110"/>
      <c r="M53" s="111" t="s">
        <v>64</v>
      </c>
      <c r="N53" s="109"/>
      <c r="O53" s="102"/>
      <c r="P53" s="40"/>
    </row>
    <row r="54" ht="15.75" customHeight="1">
      <c r="A54" s="40"/>
      <c r="B54" s="132" t="s">
        <v>69</v>
      </c>
      <c r="C54" s="122"/>
      <c r="D54" s="84"/>
      <c r="E54" s="123"/>
      <c r="F54" s="86"/>
      <c r="G54" s="84"/>
      <c r="H54" s="124"/>
      <c r="I54" s="110"/>
      <c r="J54" s="117" t="str">
        <f t="array" ref="J54">GPA({K10:K19,M10:M19,O10:O19;K24:K33,M24:M33,O24:O33;K38:K47,M38:M47,O38:O47},1,2)</f>
        <v>Loading...</v>
      </c>
      <c r="K54" s="118"/>
      <c r="L54" s="110"/>
      <c r="M54" s="119" t="str">
        <f t="array" ref="M54">CREDITSSUM({K10:K19,M10:M19;K24:K33,M24:M33;K38:K47,M38:M47},1,2)</f>
        <v>Loading...</v>
      </c>
      <c r="N54" s="118"/>
      <c r="O54" s="120"/>
      <c r="P54" s="40"/>
    </row>
    <row r="55" ht="15.75" customHeight="1">
      <c r="A55" s="40"/>
      <c r="B55" s="121" t="s">
        <v>70</v>
      </c>
      <c r="C55" s="122"/>
      <c r="D55" s="84"/>
      <c r="E55" s="123"/>
      <c r="F55" s="86"/>
      <c r="G55" s="84"/>
      <c r="H55" s="124"/>
      <c r="I55" s="97"/>
      <c r="J55" s="97"/>
      <c r="K55" s="97"/>
      <c r="L55" s="131"/>
      <c r="M55" s="97"/>
      <c r="N55" s="97"/>
      <c r="O55" s="97"/>
      <c r="P55" s="40"/>
    </row>
    <row r="56" ht="15.75" customHeight="1">
      <c r="A56" s="40"/>
      <c r="B56" s="125" t="s">
        <v>71</v>
      </c>
      <c r="C56" s="126"/>
      <c r="D56" s="127"/>
      <c r="E56" s="128"/>
      <c r="F56" s="129"/>
      <c r="G56" s="127"/>
      <c r="H56" s="130"/>
      <c r="I56" s="97"/>
      <c r="J56" s="97"/>
      <c r="K56" s="97"/>
      <c r="L56" s="131"/>
      <c r="M56" s="97"/>
      <c r="N56" s="97"/>
      <c r="O56" s="97"/>
      <c r="P56" s="40"/>
    </row>
    <row r="57" ht="15.75" customHeight="1">
      <c r="A57" s="40"/>
      <c r="B57" s="96"/>
      <c r="C57" s="96"/>
      <c r="D57" s="96"/>
      <c r="E57" s="96"/>
      <c r="F57" s="96"/>
      <c r="G57" s="96"/>
      <c r="H57" s="96"/>
      <c r="I57" s="97"/>
      <c r="J57" s="97"/>
      <c r="K57" s="97"/>
      <c r="L57" s="131"/>
      <c r="M57" s="97"/>
      <c r="N57" s="97"/>
      <c r="O57" s="97"/>
      <c r="P57" s="40"/>
    </row>
    <row r="58" ht="15.75" customHeight="1">
      <c r="A58" s="40"/>
      <c r="B58" s="96"/>
      <c r="C58" s="96"/>
      <c r="D58" s="96"/>
      <c r="E58" s="96"/>
      <c r="F58" s="96"/>
      <c r="G58" s="96"/>
      <c r="H58" s="96"/>
      <c r="I58" s="97"/>
      <c r="J58" s="97"/>
      <c r="K58" s="97"/>
      <c r="L58" s="131"/>
      <c r="M58" s="97"/>
      <c r="N58" s="97"/>
      <c r="O58" s="97"/>
      <c r="P58" s="40"/>
    </row>
  </sheetData>
  <mergeCells count="77">
    <mergeCell ref="B30:J30"/>
    <mergeCell ref="B31:J31"/>
    <mergeCell ref="B32:J32"/>
    <mergeCell ref="B33:J33"/>
    <mergeCell ref="J34:K34"/>
    <mergeCell ref="M35:O35"/>
    <mergeCell ref="M36:O36"/>
    <mergeCell ref="C34:H36"/>
    <mergeCell ref="B37:J37"/>
    <mergeCell ref="B38:J38"/>
    <mergeCell ref="B39:J39"/>
    <mergeCell ref="B40:J40"/>
    <mergeCell ref="B41:J41"/>
    <mergeCell ref="B42:J42"/>
    <mergeCell ref="J49:K49"/>
    <mergeCell ref="M49:O49"/>
    <mergeCell ref="M50:O50"/>
    <mergeCell ref="J52:K52"/>
    <mergeCell ref="J53:K53"/>
    <mergeCell ref="M53:O53"/>
    <mergeCell ref="J54:K54"/>
    <mergeCell ref="M54:O54"/>
    <mergeCell ref="C48:H50"/>
    <mergeCell ref="B51:B52"/>
    <mergeCell ref="C51:E51"/>
    <mergeCell ref="F51:H51"/>
    <mergeCell ref="B43:J43"/>
    <mergeCell ref="B44:J44"/>
    <mergeCell ref="B45:J45"/>
    <mergeCell ref="B46:J46"/>
    <mergeCell ref="B47:J47"/>
    <mergeCell ref="J48:K48"/>
    <mergeCell ref="J50:K50"/>
    <mergeCell ref="C1:H2"/>
    <mergeCell ref="I1:O2"/>
    <mergeCell ref="C3:E3"/>
    <mergeCell ref="F3:H3"/>
    <mergeCell ref="I3:J3"/>
    <mergeCell ref="K3:O3"/>
    <mergeCell ref="C4:E4"/>
    <mergeCell ref="K4:O4"/>
    <mergeCell ref="F4:H4"/>
    <mergeCell ref="I4:J4"/>
    <mergeCell ref="C5:E6"/>
    <mergeCell ref="F5:H6"/>
    <mergeCell ref="I5:J6"/>
    <mergeCell ref="K5:O6"/>
    <mergeCell ref="C7:E8"/>
    <mergeCell ref="K7:O8"/>
    <mergeCell ref="F7:H8"/>
    <mergeCell ref="I7:J8"/>
    <mergeCell ref="B9:J9"/>
    <mergeCell ref="B10:J10"/>
    <mergeCell ref="B11:J11"/>
    <mergeCell ref="B12:J12"/>
    <mergeCell ref="B13:J13"/>
    <mergeCell ref="J20:K20"/>
    <mergeCell ref="J21:K21"/>
    <mergeCell ref="M21:O21"/>
    <mergeCell ref="J22:K22"/>
    <mergeCell ref="M22:O22"/>
    <mergeCell ref="B14:J14"/>
    <mergeCell ref="B15:J15"/>
    <mergeCell ref="B16:J16"/>
    <mergeCell ref="B17:J17"/>
    <mergeCell ref="B18:J18"/>
    <mergeCell ref="B19:J19"/>
    <mergeCell ref="C20:H22"/>
    <mergeCell ref="B23:J23"/>
    <mergeCell ref="B24:J24"/>
    <mergeCell ref="B25:J25"/>
    <mergeCell ref="B26:J26"/>
    <mergeCell ref="B27:J27"/>
    <mergeCell ref="B28:J28"/>
    <mergeCell ref="B29:J29"/>
    <mergeCell ref="J35:K35"/>
    <mergeCell ref="J36:K36"/>
  </mergeCells>
  <dataValidations>
    <dataValidation type="custom" allowBlank="1" showDropDown="1" showInputMessage="1" showErrorMessage="1" prompt="Enter a number" sqref="K10:K17 O10:O19 K24:K32 O24:O33 K38:K46 O38:O47">
      <formula1>ISNUMBER(K10)</formula1>
    </dataValidation>
    <dataValidation type="list" allowBlank="1" showInputMessage="1" showErrorMessage="1" prompt="Click and enter a valid scale from the list of items. The valid scales are Letter, 0-100, 0-4, and None" sqref="B3">
      <formula1>"Letter,0-4,0-100,None"</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8.88"/>
    <col customWidth="1" min="3" max="8" width="6.38"/>
    <col customWidth="1" hidden="1" min="9" max="9" width="18.88"/>
    <col customWidth="1" min="10" max="10" width="18.88"/>
    <col customWidth="1" min="11" max="11" width="6.38"/>
    <col customWidth="1" hidden="1" min="12" max="12" width="18.88"/>
    <col customWidth="1" min="13" max="13" width="6.38"/>
    <col customWidth="1" hidden="1" min="14" max="14" width="6.38"/>
    <col customWidth="1" min="15" max="15" width="6.38"/>
  </cols>
  <sheetData>
    <row r="1" ht="15.75" customHeight="1">
      <c r="A1" s="58"/>
      <c r="B1" s="1"/>
      <c r="C1" s="71" t="s">
        <v>5</v>
      </c>
      <c r="I1" s="58" t="s">
        <v>6</v>
      </c>
      <c r="P1" s="72"/>
    </row>
    <row r="2" ht="15.75" customHeight="1">
      <c r="A2" s="58"/>
      <c r="B2" s="74" t="s">
        <v>50</v>
      </c>
      <c r="P2" s="72"/>
    </row>
    <row r="3" ht="15.75" customHeight="1">
      <c r="A3" s="73"/>
      <c r="B3" s="75" t="s">
        <v>51</v>
      </c>
      <c r="C3" s="59" t="s">
        <v>8</v>
      </c>
      <c r="F3" s="60" t="str">
        <f>'Getting Started'!$G$10</f>
        <v/>
      </c>
      <c r="I3" s="59" t="s">
        <v>9</v>
      </c>
      <c r="K3" s="60" t="str">
        <f>'Getting Started'!$I$10</f>
        <v/>
      </c>
      <c r="P3" s="40"/>
    </row>
    <row r="4" ht="15.75" customHeight="1">
      <c r="A4" s="73"/>
      <c r="B4" s="133" t="s">
        <v>72</v>
      </c>
      <c r="C4" s="59" t="s">
        <v>11</v>
      </c>
      <c r="F4" s="61" t="str">
        <f>'Getting Started'!$G$11</f>
        <v/>
      </c>
      <c r="I4" s="59" t="s">
        <v>12</v>
      </c>
      <c r="K4" s="60" t="str">
        <f>'Getting Started'!$I$11</f>
        <v/>
      </c>
      <c r="P4" s="40"/>
    </row>
    <row r="5" ht="15.75" customHeight="1">
      <c r="A5" s="73"/>
      <c r="B5" s="40" t="str">
        <f t="array" ref="B5">GPA({'9th Grade (Trimester)'!K10:K19,'9th Grade (Trimester)'!M10:M19,'9th Grade (Trimester)'!O10:O19;'9th Grade (Trimester)'!K24:K33,'9th Grade (Trimester)'!M24:M33,'9th Grade (Trimester)'!O24:O33;'9th Grade (Trimester)'!K38:K47,'9th Grade (Trimester)'!M38:M47,'9th Grade (Trimester)'!O38:O47;'10th Grade (Trimester)'!K10:K19,'10th Grade (Trimester)'!M10:M19,'10th Grade (Trimester)'!O10:O19;'10th Grade (Trimester)'!K24:K33,'10th Grade (Trimester)'!M24:M33,'10th Grade (Trimester)'!O24:O33;'10th Grade (Trimester)'!K38:K47,'10th Grade (Trimester)'!M38:M47,'10th Grade (Trimester)'!O38:O47;'11th Grade (Trimester)'!K10:K19,'11th Grade (Trimester)'!M10:M19,'11th Grade (Trimester)'!O10:O19;'11th Grade (Trimester)'!K24:K33,'11th Grade (Trimester)'!M24:M33,'11th Grade (Trimester)'!O24:O33;'11th Grade (Trimester)'!K38:K47,'11th Grade (Trimester)'!M38:M47,'11th Grade (Trimester)'!O38:O47;K10:K19,M10:M19,O10:O19;K24:K33,M24:M33,O24:O33;K38:K47,M38:M47,O38:O47},1,2)</f>
        <v>Loading...</v>
      </c>
      <c r="C5" s="59" t="s">
        <v>13</v>
      </c>
      <c r="F5" s="60" t="str">
        <f>'Getting Started'!$G$12</f>
        <v/>
      </c>
      <c r="I5" s="59" t="s">
        <v>14</v>
      </c>
      <c r="K5" s="60" t="str">
        <f>'Getting Started'!$I$12</f>
        <v/>
      </c>
      <c r="P5" s="40"/>
    </row>
    <row r="6" ht="15.75" customHeight="1">
      <c r="A6" s="73"/>
      <c r="B6" s="133" t="s">
        <v>64</v>
      </c>
      <c r="P6" s="40"/>
    </row>
    <row r="7" ht="15.75" customHeight="1">
      <c r="A7" s="73"/>
      <c r="B7" s="40" t="str">
        <f>IF('11th Grade (Trimester)'!B7+M54 = 0, "", '11th Grade (Trimester)'!B7+M54)</f>
        <v>Loading...</v>
      </c>
      <c r="C7" s="59" t="s">
        <v>15</v>
      </c>
      <c r="F7" s="62" t="str">
        <f>'Getting Started'!$G$14</f>
        <v/>
      </c>
      <c r="I7" s="59" t="s">
        <v>16</v>
      </c>
      <c r="K7" s="60" t="str">
        <f>'Getting Started'!$I$14</f>
        <v/>
      </c>
      <c r="P7" s="40"/>
    </row>
    <row r="8" ht="15.75" customHeight="1">
      <c r="A8" s="73"/>
      <c r="B8" s="19" t="s">
        <v>78</v>
      </c>
      <c r="P8" s="40"/>
    </row>
    <row r="9" ht="31.5" customHeight="1">
      <c r="A9" s="40"/>
      <c r="B9" s="76" t="s">
        <v>53</v>
      </c>
      <c r="C9" s="8"/>
      <c r="D9" s="8"/>
      <c r="E9" s="8"/>
      <c r="F9" s="8"/>
      <c r="G9" s="8"/>
      <c r="H9" s="8"/>
      <c r="I9" s="8"/>
      <c r="J9" s="77"/>
      <c r="K9" s="78" t="s">
        <v>54</v>
      </c>
      <c r="L9" s="79" t="s">
        <v>55</v>
      </c>
      <c r="M9" s="80" t="s">
        <v>56</v>
      </c>
      <c r="N9" s="81"/>
      <c r="O9" s="82" t="s">
        <v>57</v>
      </c>
      <c r="P9" s="1"/>
    </row>
    <row r="10" ht="15.75" customHeight="1">
      <c r="A10" s="40"/>
      <c r="B10" s="83"/>
      <c r="J10" s="47"/>
      <c r="K10" s="84"/>
      <c r="L10" s="85"/>
      <c r="M10" s="86"/>
      <c r="N10" s="87"/>
      <c r="O10" s="88"/>
      <c r="P10" s="1"/>
    </row>
    <row r="11" ht="15.75" customHeight="1">
      <c r="A11" s="40"/>
      <c r="B11" s="141"/>
      <c r="J11" s="47"/>
      <c r="K11" s="84"/>
      <c r="L11" s="85" t="b">
        <v>0</v>
      </c>
      <c r="M11" s="86"/>
      <c r="N11" s="142"/>
      <c r="O11" s="88"/>
      <c r="P11" s="40"/>
    </row>
    <row r="12" ht="15.75" customHeight="1">
      <c r="A12" s="40"/>
      <c r="B12" s="141"/>
      <c r="J12" s="47"/>
      <c r="K12" s="84"/>
      <c r="L12" s="143" t="b">
        <v>0</v>
      </c>
      <c r="M12" s="86"/>
      <c r="N12" s="142"/>
      <c r="O12" s="144"/>
      <c r="P12" s="40"/>
    </row>
    <row r="13" ht="15.75" customHeight="1">
      <c r="A13" s="40"/>
      <c r="B13" s="141"/>
      <c r="J13" s="47"/>
      <c r="K13" s="145"/>
      <c r="L13" s="85" t="b">
        <v>0</v>
      </c>
      <c r="M13" s="146"/>
      <c r="N13" s="142"/>
      <c r="O13" s="144"/>
      <c r="P13" s="40"/>
    </row>
    <row r="14" ht="15.75" customHeight="1">
      <c r="A14" s="40"/>
      <c r="B14" s="141"/>
      <c r="J14" s="47"/>
      <c r="K14" s="145"/>
      <c r="L14" s="85" t="b">
        <v>0</v>
      </c>
      <c r="M14" s="146"/>
      <c r="N14" s="142"/>
      <c r="O14" s="144"/>
      <c r="P14" s="40"/>
    </row>
    <row r="15" ht="15.75" customHeight="1">
      <c r="A15" s="40"/>
      <c r="B15" s="141"/>
      <c r="J15" s="47"/>
      <c r="K15" s="145"/>
      <c r="L15" s="85" t="b">
        <v>0</v>
      </c>
      <c r="M15" s="146"/>
      <c r="N15" s="142"/>
      <c r="O15" s="144"/>
      <c r="P15" s="40"/>
    </row>
    <row r="16" ht="15.75" customHeight="1">
      <c r="A16" s="40"/>
      <c r="B16" s="141"/>
      <c r="J16" s="47"/>
      <c r="K16" s="145"/>
      <c r="L16" s="143" t="b">
        <v>0</v>
      </c>
      <c r="M16" s="146"/>
      <c r="N16" s="142"/>
      <c r="O16" s="144"/>
      <c r="P16" s="40"/>
    </row>
    <row r="17" ht="15.75" customHeight="1">
      <c r="A17" s="40"/>
      <c r="B17" s="141"/>
      <c r="J17" s="47"/>
      <c r="K17" s="145"/>
      <c r="L17" s="143" t="b">
        <v>0</v>
      </c>
      <c r="M17" s="146"/>
      <c r="N17" s="142"/>
      <c r="O17" s="144"/>
      <c r="P17" s="40"/>
    </row>
    <row r="18" ht="15.75" customHeight="1">
      <c r="A18" s="40"/>
      <c r="B18" s="141"/>
      <c r="J18" s="47"/>
      <c r="K18" s="145"/>
      <c r="L18" s="143" t="b">
        <v>0</v>
      </c>
      <c r="M18" s="146"/>
      <c r="N18" s="142"/>
      <c r="O18" s="144"/>
      <c r="P18" s="40"/>
    </row>
    <row r="19" ht="15.75" customHeight="1">
      <c r="A19" s="40"/>
      <c r="B19" s="89"/>
      <c r="C19" s="16"/>
      <c r="D19" s="16"/>
      <c r="E19" s="16"/>
      <c r="F19" s="16"/>
      <c r="G19" s="16"/>
      <c r="H19" s="16"/>
      <c r="I19" s="16"/>
      <c r="J19" s="90"/>
      <c r="K19" s="91"/>
      <c r="L19" s="92" t="b">
        <v>0</v>
      </c>
      <c r="M19" s="93"/>
      <c r="N19" s="94"/>
      <c r="O19" s="95"/>
      <c r="P19" s="40"/>
    </row>
    <row r="20" ht="15.75" customHeight="1">
      <c r="A20" s="40"/>
      <c r="B20" s="147" t="s">
        <v>73</v>
      </c>
      <c r="C20" s="151"/>
      <c r="D20" s="137"/>
      <c r="E20" s="137"/>
      <c r="F20" s="137"/>
      <c r="G20" s="137"/>
      <c r="H20" s="137"/>
      <c r="I20" s="1"/>
      <c r="J20" s="101" t="s">
        <v>79</v>
      </c>
      <c r="K20" s="102"/>
      <c r="L20" s="1"/>
      <c r="M20" s="1"/>
      <c r="N20" s="97"/>
      <c r="O20" s="97"/>
      <c r="P20" s="40"/>
    </row>
    <row r="21" ht="15.75" customHeight="1">
      <c r="A21" s="40"/>
      <c r="B21" s="96"/>
      <c r="C21" s="149"/>
      <c r="I21" s="100"/>
      <c r="J21" s="108" t="s">
        <v>63</v>
      </c>
      <c r="K21" s="109"/>
      <c r="L21" s="110"/>
      <c r="M21" s="111" t="s">
        <v>64</v>
      </c>
      <c r="N21" s="109"/>
      <c r="O21" s="102"/>
      <c r="P21" s="40"/>
    </row>
    <row r="22" ht="15.75" customHeight="1">
      <c r="A22" s="40"/>
      <c r="B22" s="19" t="s">
        <v>80</v>
      </c>
      <c r="C22" s="152"/>
      <c r="D22" s="140"/>
      <c r="E22" s="140"/>
      <c r="F22" s="140"/>
      <c r="G22" s="140"/>
      <c r="H22" s="140"/>
      <c r="I22" s="100"/>
      <c r="J22" s="117" t="str">
        <f t="array" ref="J22">GPA({K10:K19,M10:M19,O10:O19},1,2)</f>
        <v>Loading...</v>
      </c>
      <c r="K22" s="118"/>
      <c r="L22" s="110"/>
      <c r="M22" s="119" t="str">
        <f t="array" ref="M22">CREDITSSUM({K10:K19,M10:M19},1,2)</f>
        <v>Loading...</v>
      </c>
      <c r="N22" s="118"/>
      <c r="O22" s="120"/>
      <c r="P22" s="40"/>
    </row>
    <row r="23" ht="31.5" customHeight="1">
      <c r="A23" s="40"/>
      <c r="B23" s="76" t="s">
        <v>53</v>
      </c>
      <c r="C23" s="8"/>
      <c r="D23" s="8"/>
      <c r="E23" s="8"/>
      <c r="F23" s="8"/>
      <c r="G23" s="8"/>
      <c r="H23" s="8"/>
      <c r="I23" s="8"/>
      <c r="J23" s="77"/>
      <c r="K23" s="78" t="s">
        <v>54</v>
      </c>
      <c r="L23" s="79" t="s">
        <v>55</v>
      </c>
      <c r="M23" s="80" t="s">
        <v>56</v>
      </c>
      <c r="N23" s="81"/>
      <c r="O23" s="82" t="s">
        <v>57</v>
      </c>
      <c r="P23" s="1"/>
    </row>
    <row r="24" ht="15.75" customHeight="1">
      <c r="A24" s="40"/>
      <c r="B24" s="83"/>
      <c r="J24" s="47"/>
      <c r="K24" s="84"/>
      <c r="L24" s="85"/>
      <c r="M24" s="86"/>
      <c r="N24" s="87"/>
      <c r="O24" s="88"/>
      <c r="P24" s="1"/>
    </row>
    <row r="25" ht="15.75" customHeight="1">
      <c r="A25" s="40"/>
      <c r="B25" s="141"/>
      <c r="J25" s="47"/>
      <c r="K25" s="84"/>
      <c r="L25" s="85" t="b">
        <v>0</v>
      </c>
      <c r="M25" s="86"/>
      <c r="N25" s="142"/>
      <c r="O25" s="88"/>
      <c r="P25" s="40"/>
    </row>
    <row r="26" ht="15.75" customHeight="1">
      <c r="A26" s="40"/>
      <c r="B26" s="141"/>
      <c r="J26" s="47"/>
      <c r="K26" s="84"/>
      <c r="L26" s="143" t="b">
        <v>0</v>
      </c>
      <c r="M26" s="86"/>
      <c r="N26" s="142"/>
      <c r="O26" s="144"/>
      <c r="P26" s="40"/>
    </row>
    <row r="27" ht="15.75" customHeight="1">
      <c r="A27" s="40"/>
      <c r="B27" s="141"/>
      <c r="J27" s="47"/>
      <c r="K27" s="145"/>
      <c r="L27" s="143" t="b">
        <v>0</v>
      </c>
      <c r="M27" s="146"/>
      <c r="N27" s="142"/>
      <c r="O27" s="144"/>
      <c r="P27" s="40"/>
    </row>
    <row r="28" ht="15.75" customHeight="1">
      <c r="A28" s="40"/>
      <c r="B28" s="141"/>
      <c r="J28" s="47"/>
      <c r="K28" s="145"/>
      <c r="L28" s="85" t="b">
        <v>0</v>
      </c>
      <c r="M28" s="146"/>
      <c r="N28" s="142"/>
      <c r="O28" s="144"/>
      <c r="P28" s="40"/>
    </row>
    <row r="29" ht="15.75" customHeight="1">
      <c r="A29" s="40"/>
      <c r="B29" s="141"/>
      <c r="J29" s="47"/>
      <c r="K29" s="145"/>
      <c r="L29" s="85" t="b">
        <v>0</v>
      </c>
      <c r="M29" s="146"/>
      <c r="N29" s="142"/>
      <c r="O29" s="144"/>
      <c r="P29" s="40"/>
    </row>
    <row r="30" ht="15.75" customHeight="1">
      <c r="A30" s="40"/>
      <c r="B30" s="141"/>
      <c r="J30" s="47"/>
      <c r="K30" s="146"/>
      <c r="L30" s="85" t="b">
        <v>0</v>
      </c>
      <c r="M30" s="146"/>
      <c r="N30" s="142"/>
      <c r="O30" s="144"/>
      <c r="P30" s="40"/>
    </row>
    <row r="31" ht="15.75" customHeight="1">
      <c r="A31" s="40"/>
      <c r="B31" s="141"/>
      <c r="J31" s="47"/>
      <c r="K31" s="145"/>
      <c r="L31" s="143" t="b">
        <v>0</v>
      </c>
      <c r="M31" s="146"/>
      <c r="N31" s="142"/>
      <c r="O31" s="144"/>
      <c r="P31" s="40"/>
    </row>
    <row r="32" ht="15.75" customHeight="1">
      <c r="A32" s="40"/>
      <c r="B32" s="141"/>
      <c r="J32" s="47"/>
      <c r="K32" s="145"/>
      <c r="L32" s="143" t="b">
        <v>0</v>
      </c>
      <c r="M32" s="146"/>
      <c r="N32" s="142"/>
      <c r="O32" s="144"/>
      <c r="P32" s="40"/>
    </row>
    <row r="33" ht="15.75" customHeight="1">
      <c r="A33" s="40"/>
      <c r="B33" s="89"/>
      <c r="C33" s="16"/>
      <c r="D33" s="16"/>
      <c r="E33" s="16"/>
      <c r="F33" s="16"/>
      <c r="G33" s="16"/>
      <c r="H33" s="16"/>
      <c r="I33" s="16"/>
      <c r="J33" s="90"/>
      <c r="K33" s="91"/>
      <c r="L33" s="92" t="b">
        <v>0</v>
      </c>
      <c r="M33" s="93"/>
      <c r="N33" s="94"/>
      <c r="O33" s="95"/>
      <c r="P33" s="40"/>
    </row>
    <row r="34" ht="15.75" customHeight="1">
      <c r="A34" s="40"/>
      <c r="B34" s="147" t="s">
        <v>73</v>
      </c>
      <c r="C34" s="151"/>
      <c r="D34" s="137"/>
      <c r="E34" s="137"/>
      <c r="F34" s="137"/>
      <c r="G34" s="137"/>
      <c r="H34" s="137"/>
      <c r="I34" s="1"/>
      <c r="J34" s="101" t="s">
        <v>81</v>
      </c>
      <c r="K34" s="102"/>
      <c r="L34" s="1"/>
      <c r="M34" s="1"/>
      <c r="N34" s="97"/>
      <c r="O34" s="97"/>
      <c r="P34" s="40"/>
    </row>
    <row r="35" ht="15.75" customHeight="1">
      <c r="A35" s="40"/>
      <c r="B35" s="96"/>
      <c r="C35" s="149"/>
      <c r="I35" s="100"/>
      <c r="J35" s="108" t="s">
        <v>63</v>
      </c>
      <c r="K35" s="109"/>
      <c r="L35" s="110"/>
      <c r="M35" s="111" t="s">
        <v>64</v>
      </c>
      <c r="N35" s="109"/>
      <c r="O35" s="102"/>
      <c r="P35" s="40"/>
    </row>
    <row r="36" ht="15.75" customHeight="1">
      <c r="A36" s="40"/>
      <c r="B36" s="19" t="s">
        <v>82</v>
      </c>
      <c r="C36" s="152"/>
      <c r="D36" s="140"/>
      <c r="E36" s="140"/>
      <c r="F36" s="140"/>
      <c r="G36" s="140"/>
      <c r="H36" s="140"/>
      <c r="I36" s="100"/>
      <c r="J36" s="117" t="str">
        <f t="array" ref="J36">GPA({K24:K33,M24:M33,O24:O33},1,2)</f>
        <v>Loading...</v>
      </c>
      <c r="K36" s="118"/>
      <c r="L36" s="110"/>
      <c r="M36" s="119" t="str">
        <f t="array" ref="M36">CREDITSSUM({K24:K33,M24:M33},1,2)</f>
        <v>Loading...</v>
      </c>
      <c r="N36" s="118"/>
      <c r="O36" s="120"/>
      <c r="P36" s="40"/>
    </row>
    <row r="37" ht="31.5" customHeight="1">
      <c r="A37" s="40"/>
      <c r="B37" s="76" t="s">
        <v>53</v>
      </c>
      <c r="C37" s="8"/>
      <c r="D37" s="8"/>
      <c r="E37" s="8"/>
      <c r="F37" s="8"/>
      <c r="G37" s="8"/>
      <c r="H37" s="8"/>
      <c r="I37" s="8"/>
      <c r="J37" s="77"/>
      <c r="K37" s="78" t="s">
        <v>54</v>
      </c>
      <c r="L37" s="79" t="s">
        <v>55</v>
      </c>
      <c r="M37" s="80" t="s">
        <v>56</v>
      </c>
      <c r="N37" s="81"/>
      <c r="O37" s="82" t="s">
        <v>57</v>
      </c>
      <c r="P37" s="1"/>
    </row>
    <row r="38" ht="15.75" customHeight="1">
      <c r="A38" s="40"/>
      <c r="B38" s="83"/>
      <c r="J38" s="47"/>
      <c r="K38" s="84"/>
      <c r="L38" s="85"/>
      <c r="M38" s="86"/>
      <c r="N38" s="87"/>
      <c r="O38" s="88"/>
      <c r="P38" s="1"/>
    </row>
    <row r="39" ht="15.75" customHeight="1">
      <c r="A39" s="40"/>
      <c r="B39" s="141"/>
      <c r="J39" s="47"/>
      <c r="K39" s="84"/>
      <c r="L39" s="85" t="b">
        <v>0</v>
      </c>
      <c r="M39" s="86"/>
      <c r="N39" s="142"/>
      <c r="O39" s="88"/>
      <c r="P39" s="40"/>
    </row>
    <row r="40" ht="15.75" customHeight="1">
      <c r="A40" s="40"/>
      <c r="B40" s="141"/>
      <c r="J40" s="47"/>
      <c r="K40" s="84"/>
      <c r="L40" s="85" t="b">
        <v>0</v>
      </c>
      <c r="M40" s="86"/>
      <c r="N40" s="142"/>
      <c r="O40" s="144"/>
      <c r="P40" s="40"/>
    </row>
    <row r="41" ht="15.75" customHeight="1">
      <c r="A41" s="40"/>
      <c r="B41" s="141"/>
      <c r="J41" s="47"/>
      <c r="K41" s="145"/>
      <c r="L41" s="85" t="b">
        <v>0</v>
      </c>
      <c r="M41" s="146"/>
      <c r="N41" s="142"/>
      <c r="O41" s="144"/>
      <c r="P41" s="40"/>
    </row>
    <row r="42" ht="15.75" customHeight="1">
      <c r="A42" s="40"/>
      <c r="B42" s="141"/>
      <c r="J42" s="47"/>
      <c r="K42" s="145"/>
      <c r="L42" s="85" t="b">
        <v>0</v>
      </c>
      <c r="M42" s="146"/>
      <c r="N42" s="142"/>
      <c r="O42" s="144"/>
      <c r="P42" s="40"/>
    </row>
    <row r="43" ht="15.75" customHeight="1">
      <c r="A43" s="40"/>
      <c r="B43" s="141"/>
      <c r="J43" s="47"/>
      <c r="K43" s="145"/>
      <c r="L43" s="85" t="b">
        <v>0</v>
      </c>
      <c r="M43" s="146"/>
      <c r="N43" s="142"/>
      <c r="O43" s="144"/>
      <c r="P43" s="40"/>
    </row>
    <row r="44" ht="15.75" customHeight="1">
      <c r="A44" s="40"/>
      <c r="B44" s="141"/>
      <c r="J44" s="47"/>
      <c r="K44" s="146"/>
      <c r="L44" s="85" t="b">
        <v>0</v>
      </c>
      <c r="M44" s="146"/>
      <c r="N44" s="142"/>
      <c r="O44" s="144"/>
      <c r="P44" s="40"/>
    </row>
    <row r="45" ht="15.75" customHeight="1">
      <c r="A45" s="40"/>
      <c r="B45" s="141"/>
      <c r="J45" s="47"/>
      <c r="K45" s="145"/>
      <c r="L45" s="143" t="b">
        <v>0</v>
      </c>
      <c r="M45" s="146"/>
      <c r="N45" s="142"/>
      <c r="O45" s="144"/>
      <c r="P45" s="40"/>
    </row>
    <row r="46" ht="15.75" customHeight="1">
      <c r="A46" s="40"/>
      <c r="B46" s="141"/>
      <c r="J46" s="47"/>
      <c r="K46" s="145"/>
      <c r="L46" s="143" t="b">
        <v>0</v>
      </c>
      <c r="M46" s="146"/>
      <c r="N46" s="142"/>
      <c r="O46" s="144"/>
      <c r="P46" s="40"/>
    </row>
    <row r="47" ht="15.75" customHeight="1">
      <c r="A47" s="40"/>
      <c r="B47" s="89"/>
      <c r="C47" s="16"/>
      <c r="D47" s="16"/>
      <c r="E47" s="16"/>
      <c r="F47" s="16"/>
      <c r="G47" s="16"/>
      <c r="H47" s="16"/>
      <c r="I47" s="16"/>
      <c r="J47" s="90"/>
      <c r="K47" s="91"/>
      <c r="L47" s="92" t="b">
        <v>0</v>
      </c>
      <c r="M47" s="93"/>
      <c r="N47" s="94"/>
      <c r="O47" s="95"/>
      <c r="P47" s="40"/>
    </row>
    <row r="48" ht="15.75" customHeight="1">
      <c r="A48" s="40"/>
      <c r="B48" s="147" t="s">
        <v>73</v>
      </c>
      <c r="C48" s="148"/>
      <c r="I48" s="1"/>
      <c r="J48" s="101" t="s">
        <v>83</v>
      </c>
      <c r="K48" s="102"/>
      <c r="L48" s="1"/>
      <c r="M48" s="1"/>
      <c r="N48" s="97"/>
      <c r="O48" s="97"/>
      <c r="P48" s="40"/>
    </row>
    <row r="49" ht="15.75" customHeight="1">
      <c r="A49" s="40"/>
      <c r="B49" s="96"/>
      <c r="C49" s="149"/>
      <c r="I49" s="100"/>
      <c r="J49" s="108" t="s">
        <v>63</v>
      </c>
      <c r="K49" s="109"/>
      <c r="L49" s="110"/>
      <c r="M49" s="111" t="s">
        <v>64</v>
      </c>
      <c r="N49" s="109"/>
      <c r="O49" s="102"/>
      <c r="P49" s="40"/>
    </row>
    <row r="50" ht="15.75" customHeight="1">
      <c r="A50" s="40"/>
      <c r="B50" s="98" t="s">
        <v>58</v>
      </c>
      <c r="C50" s="149"/>
      <c r="I50" s="100"/>
      <c r="J50" s="117" t="str">
        <f t="array" ref="J50">GPA({K38:K47,M38:M47,O38:O47},1,2)</f>
        <v>Loading...</v>
      </c>
      <c r="K50" s="118"/>
      <c r="L50" s="110"/>
      <c r="M50" s="119" t="str">
        <f t="array" ref="M50">CREDITSSUM({K38:K47,M38:M47},1,2)</f>
        <v>Loading...</v>
      </c>
      <c r="N50" s="118"/>
      <c r="O50" s="120"/>
      <c r="P50" s="40"/>
    </row>
    <row r="51" ht="15.75" customHeight="1">
      <c r="A51" s="40"/>
      <c r="B51" s="103" t="s">
        <v>60</v>
      </c>
      <c r="C51" s="104" t="s">
        <v>61</v>
      </c>
      <c r="D51" s="105"/>
      <c r="E51" s="106"/>
      <c r="F51" s="104" t="s">
        <v>62</v>
      </c>
      <c r="G51" s="105"/>
      <c r="H51" s="107"/>
      <c r="I51" s="110"/>
      <c r="J51" s="1"/>
      <c r="K51" s="1"/>
      <c r="L51" s="1"/>
      <c r="M51" s="1"/>
      <c r="N51" s="1"/>
      <c r="O51" s="1"/>
      <c r="P51" s="40"/>
    </row>
    <row r="52" ht="15.75" customHeight="1">
      <c r="A52" s="40"/>
      <c r="B52" s="112"/>
      <c r="C52" s="113" t="s">
        <v>65</v>
      </c>
      <c r="D52" s="114" t="s">
        <v>66</v>
      </c>
      <c r="E52" s="115" t="s">
        <v>67</v>
      </c>
      <c r="F52" s="113" t="s">
        <v>65</v>
      </c>
      <c r="G52" s="114" t="s">
        <v>66</v>
      </c>
      <c r="H52" s="116" t="s">
        <v>67</v>
      </c>
      <c r="I52" s="110"/>
      <c r="J52" s="101" t="s">
        <v>59</v>
      </c>
      <c r="K52" s="102"/>
      <c r="L52" s="1"/>
      <c r="M52" s="1"/>
      <c r="N52" s="97"/>
      <c r="O52" s="97"/>
      <c r="P52" s="40"/>
    </row>
    <row r="53" ht="15.75" customHeight="1">
      <c r="A53" s="40"/>
      <c r="B53" s="132" t="s">
        <v>68</v>
      </c>
      <c r="C53" s="122"/>
      <c r="D53" s="84"/>
      <c r="E53" s="123"/>
      <c r="F53" s="86"/>
      <c r="G53" s="84"/>
      <c r="H53" s="124"/>
      <c r="I53" s="110"/>
      <c r="J53" s="108" t="s">
        <v>63</v>
      </c>
      <c r="K53" s="109"/>
      <c r="L53" s="110"/>
      <c r="M53" s="111" t="s">
        <v>64</v>
      </c>
      <c r="N53" s="109"/>
      <c r="O53" s="102"/>
      <c r="P53" s="40"/>
    </row>
    <row r="54" ht="15.75" customHeight="1">
      <c r="A54" s="40"/>
      <c r="B54" s="132" t="s">
        <v>69</v>
      </c>
      <c r="C54" s="122"/>
      <c r="D54" s="84"/>
      <c r="E54" s="123"/>
      <c r="F54" s="86"/>
      <c r="G54" s="84"/>
      <c r="H54" s="124"/>
      <c r="I54" s="110"/>
      <c r="J54" s="117" t="str">
        <f t="array" ref="J54">GPA({K10:K19,M10:M19,O10:O19;K24:K33,M24:M33,O24:O33;K38:K47,M38:M47,O38:O47},1,2)</f>
        <v>Loading...</v>
      </c>
      <c r="K54" s="118"/>
      <c r="L54" s="110"/>
      <c r="M54" s="119" t="str">
        <f t="array" ref="M54">CREDITSSUM({K10:K19,M10:M19;K24:K33,M24:M33;K38:K47,M38:M47},1,2)</f>
        <v>Loading...</v>
      </c>
      <c r="N54" s="118"/>
      <c r="O54" s="120"/>
      <c r="P54" s="40"/>
    </row>
    <row r="55" ht="15.75" customHeight="1">
      <c r="A55" s="40"/>
      <c r="B55" s="121" t="s">
        <v>70</v>
      </c>
      <c r="C55" s="122"/>
      <c r="D55" s="84"/>
      <c r="E55" s="123"/>
      <c r="F55" s="86"/>
      <c r="G55" s="84"/>
      <c r="H55" s="124"/>
      <c r="I55" s="97"/>
      <c r="J55" s="97"/>
      <c r="K55" s="97"/>
      <c r="L55" s="131"/>
      <c r="M55" s="97"/>
      <c r="N55" s="97"/>
      <c r="O55" s="97"/>
      <c r="P55" s="40"/>
    </row>
    <row r="56" ht="15.75" customHeight="1">
      <c r="A56" s="40"/>
      <c r="B56" s="125" t="s">
        <v>71</v>
      </c>
      <c r="C56" s="126"/>
      <c r="D56" s="127"/>
      <c r="E56" s="128"/>
      <c r="F56" s="129"/>
      <c r="G56" s="127"/>
      <c r="H56" s="130"/>
      <c r="I56" s="97"/>
      <c r="J56" s="97"/>
      <c r="K56" s="97"/>
      <c r="L56" s="131"/>
      <c r="M56" s="97"/>
      <c r="N56" s="97"/>
      <c r="O56" s="97"/>
      <c r="P56" s="40"/>
    </row>
    <row r="57" ht="15.75" customHeight="1">
      <c r="A57" s="40"/>
      <c r="B57" s="96"/>
      <c r="C57" s="96"/>
      <c r="D57" s="96"/>
      <c r="E57" s="96"/>
      <c r="F57" s="96"/>
      <c r="G57" s="96"/>
      <c r="H57" s="96"/>
      <c r="I57" s="97"/>
      <c r="J57" s="97"/>
      <c r="K57" s="97"/>
      <c r="L57" s="131"/>
      <c r="M57" s="97"/>
      <c r="N57" s="97"/>
      <c r="O57" s="97"/>
      <c r="P57" s="40"/>
    </row>
    <row r="58" ht="15.75" customHeight="1">
      <c r="A58" s="40"/>
      <c r="B58" s="96"/>
      <c r="C58" s="96"/>
      <c r="D58" s="96"/>
      <c r="E58" s="96"/>
      <c r="F58" s="96"/>
      <c r="G58" s="96"/>
      <c r="H58" s="96"/>
      <c r="I58" s="97"/>
      <c r="J58" s="97"/>
      <c r="K58" s="97"/>
      <c r="L58" s="131"/>
      <c r="M58" s="97"/>
      <c r="N58" s="97"/>
      <c r="O58" s="97"/>
      <c r="P58" s="40"/>
    </row>
  </sheetData>
  <mergeCells count="77">
    <mergeCell ref="B30:J30"/>
    <mergeCell ref="B31:J31"/>
    <mergeCell ref="B32:J32"/>
    <mergeCell ref="B33:J33"/>
    <mergeCell ref="J34:K34"/>
    <mergeCell ref="M35:O35"/>
    <mergeCell ref="M36:O36"/>
    <mergeCell ref="C34:H36"/>
    <mergeCell ref="B37:J37"/>
    <mergeCell ref="B38:J38"/>
    <mergeCell ref="B39:J39"/>
    <mergeCell ref="B40:J40"/>
    <mergeCell ref="B41:J41"/>
    <mergeCell ref="B42:J42"/>
    <mergeCell ref="J49:K49"/>
    <mergeCell ref="M49:O49"/>
    <mergeCell ref="M50:O50"/>
    <mergeCell ref="J52:K52"/>
    <mergeCell ref="J53:K53"/>
    <mergeCell ref="M53:O53"/>
    <mergeCell ref="J54:K54"/>
    <mergeCell ref="M54:O54"/>
    <mergeCell ref="C48:H50"/>
    <mergeCell ref="B51:B52"/>
    <mergeCell ref="C51:E51"/>
    <mergeCell ref="F51:H51"/>
    <mergeCell ref="B43:J43"/>
    <mergeCell ref="B44:J44"/>
    <mergeCell ref="B45:J45"/>
    <mergeCell ref="B46:J46"/>
    <mergeCell ref="B47:J47"/>
    <mergeCell ref="J48:K48"/>
    <mergeCell ref="J50:K50"/>
    <mergeCell ref="C1:H2"/>
    <mergeCell ref="I1:O2"/>
    <mergeCell ref="C3:E3"/>
    <mergeCell ref="F3:H3"/>
    <mergeCell ref="I3:J3"/>
    <mergeCell ref="K3:O3"/>
    <mergeCell ref="C4:E4"/>
    <mergeCell ref="K4:O4"/>
    <mergeCell ref="F4:H4"/>
    <mergeCell ref="I4:J4"/>
    <mergeCell ref="C5:E6"/>
    <mergeCell ref="F5:H6"/>
    <mergeCell ref="I5:J6"/>
    <mergeCell ref="K5:O6"/>
    <mergeCell ref="C7:E8"/>
    <mergeCell ref="K7:O8"/>
    <mergeCell ref="F7:H8"/>
    <mergeCell ref="I7:J8"/>
    <mergeCell ref="B9:J9"/>
    <mergeCell ref="B10:J10"/>
    <mergeCell ref="B11:J11"/>
    <mergeCell ref="B12:J12"/>
    <mergeCell ref="B13:J13"/>
    <mergeCell ref="J20:K20"/>
    <mergeCell ref="J21:K21"/>
    <mergeCell ref="M21:O21"/>
    <mergeCell ref="J22:K22"/>
    <mergeCell ref="M22:O22"/>
    <mergeCell ref="B14:J14"/>
    <mergeCell ref="B15:J15"/>
    <mergeCell ref="B16:J16"/>
    <mergeCell ref="B17:J17"/>
    <mergeCell ref="B18:J18"/>
    <mergeCell ref="B19:J19"/>
    <mergeCell ref="C20:H22"/>
    <mergeCell ref="B23:J23"/>
    <mergeCell ref="B24:J24"/>
    <mergeCell ref="B25:J25"/>
    <mergeCell ref="B26:J26"/>
    <mergeCell ref="B27:J27"/>
    <mergeCell ref="B28:J28"/>
    <mergeCell ref="B29:J29"/>
    <mergeCell ref="J35:K35"/>
    <mergeCell ref="J36:K36"/>
  </mergeCells>
  <dataValidations>
    <dataValidation type="custom" allowBlank="1" showDropDown="1" showInputMessage="1" showErrorMessage="1" prompt="Enter a number" sqref="K10:K17 O10:O19 K24:K32 O24:O33 K38:K46 O38:O47">
      <formula1>ISNUMBER(K10)</formula1>
    </dataValidation>
    <dataValidation type="list" allowBlank="1" showInputMessage="1" showErrorMessage="1" prompt="Click and enter a valid scale from the list of items. The valid scales are Letter, 0-100, 0-4, and None" sqref="B3">
      <formula1>"Letter,0-4,0-100,None"</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8.88"/>
    <col customWidth="1" min="3" max="8" width="6.38"/>
    <col customWidth="1" hidden="1" min="9" max="9" width="18.88"/>
    <col customWidth="1" min="10" max="10" width="18.88"/>
    <col customWidth="1" min="11" max="11" width="6.38"/>
    <col customWidth="1" hidden="1" min="12" max="12" width="18.88"/>
    <col customWidth="1" min="13" max="13" width="6.38"/>
    <col customWidth="1" hidden="1" min="14" max="14" width="6.38"/>
    <col customWidth="1" min="15" max="15" width="6.38"/>
  </cols>
  <sheetData>
    <row r="1" ht="31.5" customHeight="1">
      <c r="A1" s="58"/>
      <c r="B1" s="1"/>
      <c r="C1" s="71" t="s">
        <v>5</v>
      </c>
      <c r="I1" s="58" t="s">
        <v>6</v>
      </c>
      <c r="P1" s="72"/>
    </row>
    <row r="2" ht="15.75" customHeight="1">
      <c r="A2" s="73"/>
      <c r="B2" s="74" t="s">
        <v>50</v>
      </c>
      <c r="C2" s="59" t="s">
        <v>8</v>
      </c>
      <c r="F2" s="60" t="str">
        <f>'Getting Started'!$G$10</f>
        <v/>
      </c>
      <c r="I2" s="59" t="s">
        <v>9</v>
      </c>
      <c r="K2" s="60" t="str">
        <f>'Getting Started'!$I$10</f>
        <v/>
      </c>
      <c r="P2" s="40"/>
    </row>
    <row r="3" ht="15.75" customHeight="1">
      <c r="A3" s="73"/>
      <c r="B3" s="75" t="s">
        <v>51</v>
      </c>
      <c r="C3" s="59" t="s">
        <v>11</v>
      </c>
      <c r="F3" s="61" t="str">
        <f>'Getting Started'!$G$11</f>
        <v/>
      </c>
      <c r="I3" s="59" t="s">
        <v>12</v>
      </c>
      <c r="K3" s="60" t="str">
        <f>'Getting Started'!$I$11</f>
        <v/>
      </c>
      <c r="P3" s="40"/>
    </row>
    <row r="4" ht="31.5" customHeight="1">
      <c r="A4" s="73"/>
      <c r="B4" s="1"/>
      <c r="C4" s="59" t="s">
        <v>13</v>
      </c>
      <c r="F4" s="60" t="str">
        <f>'Getting Started'!$G$12</f>
        <v/>
      </c>
      <c r="I4" s="59" t="s">
        <v>14</v>
      </c>
      <c r="K4" s="60" t="str">
        <f>'Getting Started'!$I$12</f>
        <v/>
      </c>
      <c r="P4" s="40"/>
    </row>
    <row r="5" ht="15.75" customHeight="1">
      <c r="A5" s="73"/>
      <c r="B5" s="1"/>
      <c r="C5" s="59" t="s">
        <v>15</v>
      </c>
      <c r="F5" s="62" t="str">
        <f>'Getting Started'!$G$14</f>
        <v/>
      </c>
      <c r="I5" s="59" t="s">
        <v>16</v>
      </c>
      <c r="K5" s="60" t="str">
        <f>'Getting Started'!$I$14</f>
        <v/>
      </c>
      <c r="P5" s="40"/>
    </row>
    <row r="6" ht="15.75" customHeight="1">
      <c r="A6" s="73"/>
      <c r="B6" s="19" t="s">
        <v>84</v>
      </c>
      <c r="P6" s="40"/>
    </row>
    <row r="7" ht="31.5" customHeight="1">
      <c r="A7" s="40"/>
      <c r="B7" s="76" t="s">
        <v>53</v>
      </c>
      <c r="C7" s="8"/>
      <c r="D7" s="8"/>
      <c r="E7" s="8"/>
      <c r="F7" s="8"/>
      <c r="G7" s="8"/>
      <c r="H7" s="8"/>
      <c r="I7" s="8"/>
      <c r="J7" s="77"/>
      <c r="K7" s="78" t="s">
        <v>54</v>
      </c>
      <c r="L7" s="79" t="s">
        <v>55</v>
      </c>
      <c r="M7" s="80" t="s">
        <v>56</v>
      </c>
      <c r="N7" s="81"/>
      <c r="O7" s="82" t="s">
        <v>57</v>
      </c>
      <c r="P7" s="1"/>
    </row>
    <row r="8" ht="15.75" customHeight="1">
      <c r="A8" s="40"/>
      <c r="B8" s="83"/>
      <c r="J8" s="47"/>
      <c r="K8" s="84"/>
      <c r="L8" s="85"/>
      <c r="M8" s="86"/>
      <c r="N8" s="87"/>
      <c r="O8" s="88"/>
      <c r="P8" s="1"/>
    </row>
    <row r="9" ht="15.75" customHeight="1">
      <c r="A9" s="40"/>
      <c r="B9" s="141"/>
      <c r="J9" s="47"/>
      <c r="K9" s="84"/>
      <c r="L9" s="85" t="b">
        <v>0</v>
      </c>
      <c r="M9" s="86"/>
      <c r="N9" s="142"/>
      <c r="O9" s="88"/>
      <c r="P9" s="40"/>
    </row>
    <row r="10" ht="15.75" customHeight="1">
      <c r="A10" s="40"/>
      <c r="B10" s="141"/>
      <c r="J10" s="47"/>
      <c r="K10" s="84"/>
      <c r="L10" s="143" t="b">
        <v>0</v>
      </c>
      <c r="M10" s="86"/>
      <c r="N10" s="142"/>
      <c r="O10" s="144"/>
      <c r="P10" s="40"/>
    </row>
    <row r="11" ht="15.75" customHeight="1">
      <c r="A11" s="40"/>
      <c r="B11" s="141"/>
      <c r="J11" s="47"/>
      <c r="K11" s="145"/>
      <c r="L11" s="85" t="b">
        <v>0</v>
      </c>
      <c r="M11" s="146"/>
      <c r="N11" s="142"/>
      <c r="O11" s="144"/>
      <c r="P11" s="40"/>
    </row>
    <row r="12" ht="15.75" customHeight="1">
      <c r="A12" s="40"/>
      <c r="B12" s="141"/>
      <c r="J12" s="47"/>
      <c r="K12" s="145"/>
      <c r="L12" s="85" t="b">
        <v>0</v>
      </c>
      <c r="M12" s="146"/>
      <c r="N12" s="142"/>
      <c r="O12" s="144"/>
      <c r="P12" s="40"/>
    </row>
    <row r="13" ht="15.75" customHeight="1">
      <c r="A13" s="40"/>
      <c r="B13" s="89"/>
      <c r="C13" s="16"/>
      <c r="D13" s="16"/>
      <c r="E13" s="16"/>
      <c r="F13" s="16"/>
      <c r="G13" s="16"/>
      <c r="H13" s="16"/>
      <c r="I13" s="16"/>
      <c r="J13" s="90"/>
      <c r="K13" s="91"/>
      <c r="L13" s="92" t="b">
        <v>0</v>
      </c>
      <c r="M13" s="93"/>
      <c r="N13" s="94"/>
      <c r="O13" s="95"/>
      <c r="P13" s="40"/>
    </row>
    <row r="14" ht="15.75" customHeight="1">
      <c r="A14" s="40"/>
      <c r="B14" s="96"/>
      <c r="C14" s="1"/>
      <c r="D14" s="1"/>
      <c r="E14" s="1"/>
      <c r="F14" s="1"/>
      <c r="G14" s="1"/>
      <c r="H14" s="1"/>
      <c r="I14" s="1"/>
      <c r="J14" s="101" t="s">
        <v>85</v>
      </c>
      <c r="K14" s="102"/>
      <c r="L14" s="1"/>
      <c r="M14" s="1"/>
      <c r="N14" s="97"/>
      <c r="O14" s="97"/>
      <c r="P14" s="40"/>
    </row>
    <row r="15" ht="15.75" customHeight="1">
      <c r="A15" s="40"/>
      <c r="B15" s="96"/>
      <c r="C15" s="100"/>
      <c r="D15" s="100"/>
      <c r="E15" s="100"/>
      <c r="F15" s="100"/>
      <c r="G15" s="100"/>
      <c r="H15" s="100"/>
      <c r="I15" s="100"/>
      <c r="J15" s="108" t="s">
        <v>63</v>
      </c>
      <c r="K15" s="109"/>
      <c r="L15" s="110"/>
      <c r="M15" s="111" t="s">
        <v>64</v>
      </c>
      <c r="N15" s="109"/>
      <c r="O15" s="102"/>
      <c r="P15" s="40"/>
    </row>
    <row r="16" ht="15.75" customHeight="1">
      <c r="A16" s="40"/>
      <c r="B16" s="19" t="s">
        <v>86</v>
      </c>
      <c r="C16" s="100"/>
      <c r="D16" s="100"/>
      <c r="E16" s="100"/>
      <c r="F16" s="100"/>
      <c r="G16" s="100"/>
      <c r="H16" s="100"/>
      <c r="I16" s="100"/>
      <c r="J16" s="117" t="str">
        <f t="array" ref="J16">GPA({K8:K13,M8:M13,O8:O13},1,2)</f>
        <v>Loading...</v>
      </c>
      <c r="K16" s="118"/>
      <c r="L16" s="110"/>
      <c r="M16" s="119" t="str">
        <f t="array" ref="M16">CREDITSSUM({K8:K13,M8:M13},1,2)</f>
        <v>Loading...</v>
      </c>
      <c r="N16" s="118"/>
      <c r="O16" s="120"/>
      <c r="P16" s="40"/>
    </row>
    <row r="17" ht="31.5" customHeight="1">
      <c r="A17" s="40"/>
      <c r="B17" s="76" t="s">
        <v>53</v>
      </c>
      <c r="C17" s="8"/>
      <c r="D17" s="8"/>
      <c r="E17" s="8"/>
      <c r="F17" s="8"/>
      <c r="G17" s="8"/>
      <c r="H17" s="8"/>
      <c r="I17" s="8"/>
      <c r="J17" s="77"/>
      <c r="K17" s="78" t="s">
        <v>54</v>
      </c>
      <c r="L17" s="79" t="s">
        <v>55</v>
      </c>
      <c r="M17" s="80" t="s">
        <v>56</v>
      </c>
      <c r="N17" s="81"/>
      <c r="O17" s="82" t="s">
        <v>57</v>
      </c>
      <c r="P17" s="1"/>
    </row>
    <row r="18" ht="15.75" customHeight="1">
      <c r="A18" s="40"/>
      <c r="B18" s="83"/>
      <c r="J18" s="47"/>
      <c r="K18" s="84"/>
      <c r="L18" s="85"/>
      <c r="M18" s="86"/>
      <c r="N18" s="87"/>
      <c r="O18" s="88"/>
      <c r="P18" s="1"/>
    </row>
    <row r="19" ht="15.75" customHeight="1">
      <c r="A19" s="40"/>
      <c r="B19" s="141"/>
      <c r="J19" s="47"/>
      <c r="K19" s="84"/>
      <c r="L19" s="85" t="b">
        <v>0</v>
      </c>
      <c r="M19" s="86"/>
      <c r="N19" s="142"/>
      <c r="O19" s="88"/>
      <c r="P19" s="40"/>
    </row>
    <row r="20" ht="15.75" customHeight="1">
      <c r="A20" s="40"/>
      <c r="B20" s="141"/>
      <c r="J20" s="47"/>
      <c r="K20" s="84"/>
      <c r="L20" s="143" t="b">
        <v>0</v>
      </c>
      <c r="M20" s="86"/>
      <c r="N20" s="142"/>
      <c r="O20" s="144"/>
      <c r="P20" s="40"/>
    </row>
    <row r="21" ht="15.75" customHeight="1">
      <c r="A21" s="40"/>
      <c r="B21" s="141"/>
      <c r="J21" s="47"/>
      <c r="K21" s="145"/>
      <c r="L21" s="143" t="b">
        <v>0</v>
      </c>
      <c r="M21" s="146"/>
      <c r="N21" s="142"/>
      <c r="O21" s="144"/>
      <c r="P21" s="40"/>
    </row>
    <row r="22" ht="15.75" customHeight="1">
      <c r="A22" s="40"/>
      <c r="B22" s="141"/>
      <c r="J22" s="47"/>
      <c r="K22" s="145"/>
      <c r="L22" s="85" t="b">
        <v>0</v>
      </c>
      <c r="M22" s="146"/>
      <c r="N22" s="142"/>
      <c r="O22" s="144"/>
      <c r="P22" s="40"/>
    </row>
    <row r="23" ht="15.75" customHeight="1">
      <c r="A23" s="40"/>
      <c r="B23" s="89"/>
      <c r="C23" s="16"/>
      <c r="D23" s="16"/>
      <c r="E23" s="16"/>
      <c r="F23" s="16"/>
      <c r="G23" s="16"/>
      <c r="H23" s="16"/>
      <c r="I23" s="16"/>
      <c r="J23" s="90"/>
      <c r="K23" s="91"/>
      <c r="L23" s="92" t="b">
        <v>0</v>
      </c>
      <c r="M23" s="93"/>
      <c r="N23" s="94"/>
      <c r="O23" s="95"/>
      <c r="P23" s="40"/>
    </row>
    <row r="24" ht="15.75" customHeight="1">
      <c r="A24" s="40"/>
      <c r="B24" s="96"/>
      <c r="C24" s="1"/>
      <c r="D24" s="1"/>
      <c r="E24" s="1"/>
      <c r="F24" s="1"/>
      <c r="G24" s="1"/>
      <c r="H24" s="1"/>
      <c r="I24" s="1"/>
      <c r="J24" s="101" t="s">
        <v>87</v>
      </c>
      <c r="K24" s="102"/>
      <c r="L24" s="1"/>
      <c r="M24" s="1"/>
      <c r="N24" s="97"/>
      <c r="O24" s="97"/>
      <c r="P24" s="40"/>
    </row>
    <row r="25" ht="15.75" customHeight="1">
      <c r="A25" s="40"/>
      <c r="B25" s="96"/>
      <c r="C25" s="100"/>
      <c r="D25" s="100"/>
      <c r="E25" s="100"/>
      <c r="F25" s="100"/>
      <c r="G25" s="100"/>
      <c r="H25" s="100"/>
      <c r="I25" s="100"/>
      <c r="J25" s="108" t="s">
        <v>63</v>
      </c>
      <c r="K25" s="109"/>
      <c r="L25" s="110"/>
      <c r="M25" s="111" t="s">
        <v>64</v>
      </c>
      <c r="N25" s="109"/>
      <c r="O25" s="102"/>
      <c r="P25" s="40"/>
    </row>
    <row r="26" ht="15.75" customHeight="1">
      <c r="A26" s="40"/>
      <c r="B26" s="19" t="s">
        <v>88</v>
      </c>
      <c r="C26" s="100"/>
      <c r="D26" s="100"/>
      <c r="E26" s="100"/>
      <c r="F26" s="100"/>
      <c r="G26" s="100"/>
      <c r="H26" s="100"/>
      <c r="I26" s="100"/>
      <c r="J26" s="117" t="str">
        <f t="array" ref="J26">GPA({K18:K23,M18:M23,O18:O23},1,2)</f>
        <v>Loading...</v>
      </c>
      <c r="K26" s="118"/>
      <c r="L26" s="110"/>
      <c r="M26" s="119" t="str">
        <f t="array" ref="M26">CREDITSSUM({K18:K23,M18:M23},1,2)</f>
        <v>Loading...</v>
      </c>
      <c r="N26" s="118"/>
      <c r="O26" s="120"/>
      <c r="P26" s="40"/>
    </row>
    <row r="27" ht="31.5" customHeight="1">
      <c r="A27" s="40"/>
      <c r="B27" s="76" t="s">
        <v>53</v>
      </c>
      <c r="C27" s="8"/>
      <c r="D27" s="8"/>
      <c r="E27" s="8"/>
      <c r="F27" s="8"/>
      <c r="G27" s="8"/>
      <c r="H27" s="8"/>
      <c r="I27" s="8"/>
      <c r="J27" s="77"/>
      <c r="K27" s="78" t="s">
        <v>54</v>
      </c>
      <c r="L27" s="79" t="s">
        <v>55</v>
      </c>
      <c r="M27" s="80" t="s">
        <v>56</v>
      </c>
      <c r="N27" s="81"/>
      <c r="O27" s="82" t="s">
        <v>57</v>
      </c>
      <c r="P27" s="1"/>
    </row>
    <row r="28" ht="15.75" customHeight="1">
      <c r="A28" s="40"/>
      <c r="B28" s="83"/>
      <c r="J28" s="47"/>
      <c r="K28" s="84"/>
      <c r="L28" s="85"/>
      <c r="M28" s="86"/>
      <c r="N28" s="87"/>
      <c r="O28" s="88"/>
      <c r="P28" s="1"/>
    </row>
    <row r="29" ht="15.75" customHeight="1">
      <c r="A29" s="40"/>
      <c r="B29" s="141"/>
      <c r="J29" s="47"/>
      <c r="K29" s="84"/>
      <c r="L29" s="85" t="b">
        <v>0</v>
      </c>
      <c r="M29" s="86"/>
      <c r="N29" s="142"/>
      <c r="O29" s="88"/>
      <c r="P29" s="40"/>
    </row>
    <row r="30" ht="15.75" customHeight="1">
      <c r="A30" s="40"/>
      <c r="B30" s="141"/>
      <c r="J30" s="47"/>
      <c r="K30" s="84"/>
      <c r="L30" s="143" t="b">
        <v>0</v>
      </c>
      <c r="M30" s="86"/>
      <c r="N30" s="142"/>
      <c r="O30" s="144"/>
      <c r="P30" s="40"/>
    </row>
    <row r="31" ht="15.75" customHeight="1">
      <c r="A31" s="40"/>
      <c r="B31" s="141"/>
      <c r="J31" s="47"/>
      <c r="K31" s="145"/>
      <c r="L31" s="143" t="b">
        <v>0</v>
      </c>
      <c r="M31" s="146"/>
      <c r="N31" s="142"/>
      <c r="O31" s="144"/>
      <c r="P31" s="40"/>
    </row>
    <row r="32" ht="15.75" customHeight="1">
      <c r="A32" s="40"/>
      <c r="B32" s="141"/>
      <c r="J32" s="47"/>
      <c r="K32" s="145"/>
      <c r="L32" s="85" t="b">
        <v>0</v>
      </c>
      <c r="M32" s="146"/>
      <c r="N32" s="142"/>
      <c r="O32" s="144"/>
      <c r="P32" s="40"/>
    </row>
    <row r="33" ht="15.75" customHeight="1">
      <c r="A33" s="40"/>
      <c r="B33" s="89"/>
      <c r="C33" s="16"/>
      <c r="D33" s="16"/>
      <c r="E33" s="16"/>
      <c r="F33" s="16"/>
      <c r="G33" s="16"/>
      <c r="H33" s="16"/>
      <c r="I33" s="16"/>
      <c r="J33" s="90"/>
      <c r="K33" s="91"/>
      <c r="L33" s="92" t="b">
        <v>0</v>
      </c>
      <c r="M33" s="93"/>
      <c r="N33" s="94"/>
      <c r="O33" s="95"/>
      <c r="P33" s="40"/>
    </row>
    <row r="34" ht="15.75" customHeight="1">
      <c r="A34" s="40"/>
      <c r="B34" s="96"/>
      <c r="C34" s="1"/>
      <c r="D34" s="1"/>
      <c r="E34" s="1"/>
      <c r="F34" s="1"/>
      <c r="G34" s="1"/>
      <c r="H34" s="1"/>
      <c r="I34" s="1"/>
      <c r="J34" s="101" t="s">
        <v>89</v>
      </c>
      <c r="K34" s="102"/>
      <c r="L34" s="1"/>
      <c r="M34" s="1"/>
      <c r="N34" s="97"/>
      <c r="O34" s="97"/>
      <c r="P34" s="40"/>
    </row>
    <row r="35" ht="15.75" customHeight="1">
      <c r="A35" s="40"/>
      <c r="B35" s="96"/>
      <c r="C35" s="100"/>
      <c r="D35" s="100"/>
      <c r="E35" s="100"/>
      <c r="F35" s="100"/>
      <c r="G35" s="100"/>
      <c r="H35" s="100"/>
      <c r="I35" s="100"/>
      <c r="J35" s="108" t="s">
        <v>63</v>
      </c>
      <c r="K35" s="109"/>
      <c r="L35" s="110"/>
      <c r="M35" s="111" t="s">
        <v>64</v>
      </c>
      <c r="N35" s="109"/>
      <c r="O35" s="102"/>
      <c r="P35" s="40"/>
    </row>
    <row r="36" ht="15.75" customHeight="1">
      <c r="A36" s="40"/>
      <c r="B36" s="19" t="s">
        <v>88</v>
      </c>
      <c r="C36" s="100"/>
      <c r="D36" s="100"/>
      <c r="E36" s="100"/>
      <c r="F36" s="100"/>
      <c r="G36" s="100"/>
      <c r="H36" s="100"/>
      <c r="I36" s="100"/>
      <c r="J36" s="117" t="str">
        <f t="array" ref="J36">GPA({K28:K33,M28:M33,O28:O33},1,2)</f>
        <v>Loading...</v>
      </c>
      <c r="K36" s="118"/>
      <c r="L36" s="110"/>
      <c r="M36" s="119" t="str">
        <f t="array" ref="M36">CREDITSSUM({K28:K33,M28:M33},1,2)</f>
        <v>Loading...</v>
      </c>
      <c r="N36" s="118"/>
      <c r="O36" s="120"/>
      <c r="P36" s="40"/>
    </row>
    <row r="37" ht="31.5" customHeight="1">
      <c r="A37" s="40"/>
      <c r="B37" s="76" t="s">
        <v>53</v>
      </c>
      <c r="C37" s="8"/>
      <c r="D37" s="8"/>
      <c r="E37" s="8"/>
      <c r="F37" s="8"/>
      <c r="G37" s="8"/>
      <c r="H37" s="8"/>
      <c r="I37" s="8"/>
      <c r="J37" s="77"/>
      <c r="K37" s="78" t="s">
        <v>54</v>
      </c>
      <c r="L37" s="79" t="s">
        <v>55</v>
      </c>
      <c r="M37" s="80" t="s">
        <v>56</v>
      </c>
      <c r="N37" s="81"/>
      <c r="O37" s="82" t="s">
        <v>57</v>
      </c>
      <c r="P37" s="1"/>
    </row>
    <row r="38" ht="15.75" customHeight="1">
      <c r="A38" s="40"/>
      <c r="B38" s="83"/>
      <c r="J38" s="47"/>
      <c r="K38" s="84"/>
      <c r="L38" s="85"/>
      <c r="M38" s="86"/>
      <c r="N38" s="87"/>
      <c r="O38" s="88"/>
      <c r="P38" s="1"/>
    </row>
    <row r="39" ht="15.75" customHeight="1">
      <c r="A39" s="40"/>
      <c r="B39" s="141"/>
      <c r="J39" s="47"/>
      <c r="K39" s="84"/>
      <c r="L39" s="85" t="b">
        <v>0</v>
      </c>
      <c r="M39" s="86"/>
      <c r="N39" s="142"/>
      <c r="O39" s="88"/>
      <c r="P39" s="40"/>
    </row>
    <row r="40" ht="15.75" customHeight="1">
      <c r="A40" s="40"/>
      <c r="B40" s="141"/>
      <c r="J40" s="47"/>
      <c r="K40" s="84"/>
      <c r="L40" s="143" t="b">
        <v>0</v>
      </c>
      <c r="M40" s="86"/>
      <c r="N40" s="142"/>
      <c r="O40" s="144"/>
      <c r="P40" s="40"/>
    </row>
    <row r="41" ht="15.75" customHeight="1">
      <c r="A41" s="40"/>
      <c r="B41" s="141"/>
      <c r="J41" s="47"/>
      <c r="K41" s="145"/>
      <c r="L41" s="143" t="b">
        <v>0</v>
      </c>
      <c r="M41" s="146"/>
      <c r="N41" s="142"/>
      <c r="O41" s="144"/>
      <c r="P41" s="40"/>
    </row>
    <row r="42" ht="15.75" customHeight="1">
      <c r="A42" s="40"/>
      <c r="B42" s="141"/>
      <c r="J42" s="47"/>
      <c r="K42" s="145"/>
      <c r="L42" s="85" t="b">
        <v>0</v>
      </c>
      <c r="M42" s="146"/>
      <c r="N42" s="142"/>
      <c r="O42" s="144"/>
      <c r="P42" s="40"/>
    </row>
    <row r="43" ht="15.75" customHeight="1">
      <c r="A43" s="40"/>
      <c r="B43" s="89"/>
      <c r="C43" s="16"/>
      <c r="D43" s="16"/>
      <c r="E43" s="16"/>
      <c r="F43" s="16"/>
      <c r="G43" s="16"/>
      <c r="H43" s="16"/>
      <c r="I43" s="16"/>
      <c r="J43" s="90"/>
      <c r="K43" s="91"/>
      <c r="L43" s="92" t="b">
        <v>0</v>
      </c>
      <c r="M43" s="93"/>
      <c r="N43" s="94"/>
      <c r="O43" s="95"/>
      <c r="P43" s="40"/>
    </row>
    <row r="44" ht="15.75" customHeight="1">
      <c r="A44" s="40"/>
      <c r="B44" s="96"/>
      <c r="C44" s="1"/>
      <c r="D44" s="1"/>
      <c r="E44" s="1"/>
      <c r="F44" s="1"/>
      <c r="G44" s="1"/>
      <c r="H44" s="1"/>
      <c r="I44" s="1"/>
      <c r="J44" s="101" t="s">
        <v>89</v>
      </c>
      <c r="K44" s="102"/>
      <c r="L44" s="1"/>
      <c r="M44" s="1"/>
      <c r="N44" s="97"/>
      <c r="O44" s="97"/>
      <c r="P44" s="40"/>
    </row>
    <row r="45" ht="15.75" customHeight="1">
      <c r="A45" s="40"/>
      <c r="B45" s="98" t="s">
        <v>58</v>
      </c>
      <c r="C45" s="99"/>
      <c r="D45" s="99"/>
      <c r="E45" s="99"/>
      <c r="F45" s="99"/>
      <c r="G45" s="99"/>
      <c r="H45" s="99"/>
      <c r="I45" s="100"/>
      <c r="J45" s="108" t="s">
        <v>63</v>
      </c>
      <c r="K45" s="109"/>
      <c r="L45" s="110"/>
      <c r="M45" s="111" t="s">
        <v>64</v>
      </c>
      <c r="N45" s="109"/>
      <c r="O45" s="102"/>
      <c r="P45" s="40"/>
    </row>
    <row r="46" ht="15.75" customHeight="1">
      <c r="A46" s="40"/>
      <c r="B46" s="103" t="s">
        <v>60</v>
      </c>
      <c r="C46" s="104" t="s">
        <v>61</v>
      </c>
      <c r="D46" s="105"/>
      <c r="E46" s="106"/>
      <c r="F46" s="104" t="s">
        <v>62</v>
      </c>
      <c r="G46" s="105"/>
      <c r="H46" s="107"/>
      <c r="I46" s="100"/>
      <c r="J46" s="117" t="str">
        <f t="array" ref="J46">GPA({K38:K43,M38:M43,O38:O43},1,2)</f>
        <v>Loading...</v>
      </c>
      <c r="K46" s="118"/>
      <c r="L46" s="110"/>
      <c r="M46" s="119" t="str">
        <f t="array" ref="M46">CREDITSSUM({K38:K43,M38:M43},1,2)</f>
        <v>Loading...</v>
      </c>
      <c r="N46" s="118"/>
      <c r="O46" s="120"/>
      <c r="P46" s="40"/>
    </row>
    <row r="47" ht="15.75" customHeight="1">
      <c r="A47" s="40"/>
      <c r="B47" s="112"/>
      <c r="C47" s="113" t="s">
        <v>65</v>
      </c>
      <c r="D47" s="114" t="s">
        <v>66</v>
      </c>
      <c r="E47" s="115" t="s">
        <v>67</v>
      </c>
      <c r="F47" s="113" t="s">
        <v>65</v>
      </c>
      <c r="G47" s="114" t="s">
        <v>66</v>
      </c>
      <c r="H47" s="116" t="s">
        <v>67</v>
      </c>
      <c r="I47" s="110"/>
      <c r="J47" s="1"/>
      <c r="K47" s="1"/>
      <c r="L47" s="1"/>
      <c r="M47" s="1"/>
      <c r="N47" s="1"/>
      <c r="O47" s="1"/>
      <c r="P47" s="40"/>
    </row>
    <row r="48" ht="15.75" customHeight="1">
      <c r="A48" s="40"/>
      <c r="B48" s="121" t="s">
        <v>68</v>
      </c>
      <c r="C48" s="122"/>
      <c r="D48" s="84"/>
      <c r="E48" s="123"/>
      <c r="F48" s="86"/>
      <c r="G48" s="84"/>
      <c r="H48" s="124"/>
      <c r="I48" s="110"/>
      <c r="J48" s="101" t="s">
        <v>59</v>
      </c>
      <c r="K48" s="102"/>
      <c r="L48" s="1"/>
      <c r="M48" s="1"/>
      <c r="N48" s="97"/>
      <c r="O48" s="97"/>
      <c r="P48" s="40"/>
    </row>
    <row r="49" ht="15.75" customHeight="1">
      <c r="A49" s="40"/>
      <c r="B49" s="125" t="s">
        <v>69</v>
      </c>
      <c r="C49" s="126"/>
      <c r="D49" s="127"/>
      <c r="E49" s="128"/>
      <c r="F49" s="129"/>
      <c r="G49" s="127"/>
      <c r="H49" s="130"/>
      <c r="I49" s="110"/>
      <c r="J49" s="108" t="s">
        <v>63</v>
      </c>
      <c r="K49" s="109"/>
      <c r="L49" s="110"/>
      <c r="M49" s="111" t="s">
        <v>64</v>
      </c>
      <c r="N49" s="109"/>
      <c r="O49" s="102"/>
      <c r="P49" s="40"/>
    </row>
    <row r="50" ht="15.75" customHeight="1">
      <c r="A50" s="40"/>
      <c r="I50" s="110"/>
      <c r="J50" s="117" t="str">
        <f t="array" ref="J50">GPA({K8:K13,M8:M13,O8:O13;K18:K23,M18:M23,O18:O23;K28:K33,M28:M33,O28:O33;K38:K43,M38:M43,O38:O43},1,2)</f>
        <v>Loading...</v>
      </c>
      <c r="K50" s="118"/>
      <c r="L50" s="110"/>
      <c r="M50" s="119" t="str">
        <f t="array" ref="M50">CREDITSSUM({K8:K13,M8:M13;K18:K23,M18:M23;K28:K33,M28:M33;K38:K43,M38:M43},1,2)</f>
        <v>Loading...</v>
      </c>
      <c r="N50" s="118"/>
      <c r="O50" s="120"/>
      <c r="P50" s="40"/>
    </row>
    <row r="51" ht="15.75" customHeight="1">
      <c r="A51" s="40"/>
      <c r="I51" s="97"/>
      <c r="J51" s="97"/>
      <c r="K51" s="97"/>
      <c r="L51" s="131"/>
      <c r="M51" s="97"/>
      <c r="N51" s="97"/>
      <c r="O51" s="97"/>
      <c r="P51" s="40"/>
    </row>
    <row r="52" ht="15.75" customHeight="1">
      <c r="A52" s="40"/>
      <c r="B52" s="96"/>
      <c r="C52" s="97"/>
      <c r="D52" s="97"/>
      <c r="E52" s="97"/>
      <c r="F52" s="97"/>
      <c r="G52" s="97"/>
      <c r="H52" s="97"/>
      <c r="I52" s="97"/>
      <c r="J52" s="97"/>
      <c r="K52" s="97"/>
      <c r="L52" s="131"/>
      <c r="M52" s="97"/>
      <c r="N52" s="97"/>
      <c r="O52" s="97"/>
      <c r="P52" s="40"/>
    </row>
    <row r="53" ht="15.75" customHeight="1">
      <c r="A53" s="40"/>
      <c r="B53" s="96"/>
      <c r="C53" s="97"/>
      <c r="D53" s="97"/>
      <c r="E53" s="97"/>
      <c r="F53" s="97"/>
      <c r="G53" s="97"/>
      <c r="H53" s="97"/>
      <c r="I53" s="97"/>
      <c r="J53" s="97"/>
      <c r="K53" s="97"/>
      <c r="L53" s="131"/>
      <c r="M53" s="97"/>
      <c r="N53" s="97"/>
      <c r="O53" s="97"/>
      <c r="P53" s="40"/>
    </row>
  </sheetData>
  <mergeCells count="74">
    <mergeCell ref="B27:J27"/>
    <mergeCell ref="B28:J28"/>
    <mergeCell ref="B29:J29"/>
    <mergeCell ref="B30:J30"/>
    <mergeCell ref="B31:J31"/>
    <mergeCell ref="B32:J32"/>
    <mergeCell ref="B33:J33"/>
    <mergeCell ref="J44:K44"/>
    <mergeCell ref="J45:K45"/>
    <mergeCell ref="M45:O45"/>
    <mergeCell ref="M46:O46"/>
    <mergeCell ref="B37:J37"/>
    <mergeCell ref="B38:J38"/>
    <mergeCell ref="B39:J39"/>
    <mergeCell ref="B40:J40"/>
    <mergeCell ref="B41:J41"/>
    <mergeCell ref="B42:J42"/>
    <mergeCell ref="B43:J43"/>
    <mergeCell ref="M49:O49"/>
    <mergeCell ref="M50:O50"/>
    <mergeCell ref="B46:B47"/>
    <mergeCell ref="C46:E46"/>
    <mergeCell ref="F46:H46"/>
    <mergeCell ref="J46:K46"/>
    <mergeCell ref="J48:K48"/>
    <mergeCell ref="J49:K49"/>
    <mergeCell ref="J50:K50"/>
    <mergeCell ref="C1:H1"/>
    <mergeCell ref="I1:O1"/>
    <mergeCell ref="C2:E2"/>
    <mergeCell ref="F2:H2"/>
    <mergeCell ref="I2:J2"/>
    <mergeCell ref="K2:O2"/>
    <mergeCell ref="C3:E3"/>
    <mergeCell ref="K3:O3"/>
    <mergeCell ref="F3:H3"/>
    <mergeCell ref="I3:J3"/>
    <mergeCell ref="C4:E4"/>
    <mergeCell ref="F4:H4"/>
    <mergeCell ref="I4:J4"/>
    <mergeCell ref="K4:O4"/>
    <mergeCell ref="C5:E6"/>
    <mergeCell ref="K5:O6"/>
    <mergeCell ref="F5:H6"/>
    <mergeCell ref="I5:J6"/>
    <mergeCell ref="B7:J7"/>
    <mergeCell ref="B8:J8"/>
    <mergeCell ref="B9:J9"/>
    <mergeCell ref="B10:J10"/>
    <mergeCell ref="B11:J11"/>
    <mergeCell ref="B12:J12"/>
    <mergeCell ref="B13:J13"/>
    <mergeCell ref="J14:K14"/>
    <mergeCell ref="J15:K15"/>
    <mergeCell ref="M15:O15"/>
    <mergeCell ref="J16:K16"/>
    <mergeCell ref="M16:O16"/>
    <mergeCell ref="J24:K24"/>
    <mergeCell ref="J25:K25"/>
    <mergeCell ref="M25:O25"/>
    <mergeCell ref="J26:K26"/>
    <mergeCell ref="M26:O26"/>
    <mergeCell ref="B17:J17"/>
    <mergeCell ref="B18:J18"/>
    <mergeCell ref="B19:J19"/>
    <mergeCell ref="B20:J20"/>
    <mergeCell ref="B21:J21"/>
    <mergeCell ref="B22:J22"/>
    <mergeCell ref="B23:J23"/>
    <mergeCell ref="J34:K34"/>
    <mergeCell ref="J35:K35"/>
    <mergeCell ref="M35:O35"/>
    <mergeCell ref="J36:K36"/>
    <mergeCell ref="M36:O36"/>
  </mergeCells>
  <dataValidations>
    <dataValidation type="custom" allowBlank="1" showDropDown="1" showInputMessage="1" showErrorMessage="1" prompt="Enter a number" sqref="K8:K12 O8:O13 K18:K22 O18:O23 K28:K32 O28:O33 K38:K42 O38:O43">
      <formula1>ISNUMBER(K8)</formula1>
    </dataValidation>
    <dataValidation type="list" allowBlank="1" showInputMessage="1" showErrorMessage="1" prompt="Click and enter a valid scale from the list of items. The valid scales are Letter, 0-100, 0-4, and None" sqref="B3">
      <formula1>"Letter,0-4,0-100,None"</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8.88"/>
    <col customWidth="1" min="3" max="8" width="6.38"/>
    <col customWidth="1" hidden="1" min="9" max="9" width="18.88"/>
    <col customWidth="1" min="10" max="10" width="18.88"/>
    <col customWidth="1" min="11" max="11" width="6.38"/>
    <col customWidth="1" hidden="1" min="12" max="12" width="18.88"/>
    <col customWidth="1" min="13" max="13" width="6.38"/>
    <col customWidth="1" hidden="1" min="14" max="14" width="6.38"/>
    <col customWidth="1" min="15" max="15" width="6.38"/>
  </cols>
  <sheetData>
    <row r="1" ht="31.5" customHeight="1">
      <c r="A1" s="58"/>
      <c r="B1" s="1"/>
      <c r="C1" s="71" t="s">
        <v>5</v>
      </c>
      <c r="I1" s="58" t="s">
        <v>6</v>
      </c>
      <c r="P1" s="72"/>
    </row>
    <row r="2" ht="15.75" customHeight="1">
      <c r="A2" s="73"/>
      <c r="B2" s="74" t="s">
        <v>50</v>
      </c>
      <c r="C2" s="59" t="s">
        <v>8</v>
      </c>
      <c r="F2" s="60" t="str">
        <f>'Getting Started'!$G$10</f>
        <v/>
      </c>
      <c r="I2" s="59" t="s">
        <v>9</v>
      </c>
      <c r="K2" s="60" t="str">
        <f>'Getting Started'!$I$10</f>
        <v/>
      </c>
      <c r="P2" s="40"/>
    </row>
    <row r="3" ht="15.75" customHeight="1">
      <c r="A3" s="73"/>
      <c r="B3" s="75" t="s">
        <v>51</v>
      </c>
      <c r="C3" s="59" t="s">
        <v>11</v>
      </c>
      <c r="F3" s="61" t="str">
        <f>'Getting Started'!$G$11</f>
        <v/>
      </c>
      <c r="I3" s="59" t="s">
        <v>12</v>
      </c>
      <c r="K3" s="60" t="str">
        <f>'Getting Started'!$I$11</f>
        <v/>
      </c>
      <c r="P3" s="40"/>
    </row>
    <row r="4" ht="31.5" customHeight="1">
      <c r="A4" s="73"/>
      <c r="B4" s="1"/>
      <c r="C4" s="59" t="s">
        <v>13</v>
      </c>
      <c r="F4" s="60" t="str">
        <f>'Getting Started'!$G$12</f>
        <v/>
      </c>
      <c r="I4" s="59" t="s">
        <v>14</v>
      </c>
      <c r="K4" s="60" t="str">
        <f>'Getting Started'!$I$12</f>
        <v/>
      </c>
      <c r="P4" s="40"/>
    </row>
    <row r="5" ht="15.75" customHeight="1">
      <c r="A5" s="73"/>
      <c r="B5" s="1"/>
      <c r="C5" s="59" t="s">
        <v>15</v>
      </c>
      <c r="F5" s="62" t="str">
        <f>'Getting Started'!$G$14</f>
        <v/>
      </c>
      <c r="I5" s="59" t="s">
        <v>16</v>
      </c>
      <c r="K5" s="60" t="str">
        <f>'Getting Started'!$I$14</f>
        <v/>
      </c>
      <c r="P5" s="40"/>
    </row>
    <row r="6" ht="15.75" customHeight="1">
      <c r="A6" s="73"/>
      <c r="B6" s="19" t="s">
        <v>84</v>
      </c>
      <c r="P6" s="40"/>
    </row>
    <row r="7" ht="31.5" customHeight="1">
      <c r="A7" s="40"/>
      <c r="B7" s="76" t="s">
        <v>53</v>
      </c>
      <c r="C7" s="8"/>
      <c r="D7" s="8"/>
      <c r="E7" s="8"/>
      <c r="F7" s="8"/>
      <c r="G7" s="8"/>
      <c r="H7" s="8"/>
      <c r="I7" s="8"/>
      <c r="J7" s="77"/>
      <c r="K7" s="78" t="s">
        <v>54</v>
      </c>
      <c r="L7" s="79" t="s">
        <v>55</v>
      </c>
      <c r="M7" s="80" t="s">
        <v>56</v>
      </c>
      <c r="N7" s="81"/>
      <c r="O7" s="82" t="s">
        <v>57</v>
      </c>
      <c r="P7" s="1"/>
    </row>
    <row r="8" ht="15.75" customHeight="1">
      <c r="A8" s="40"/>
      <c r="B8" s="83"/>
      <c r="J8" s="47"/>
      <c r="K8" s="84"/>
      <c r="L8" s="85"/>
      <c r="M8" s="86"/>
      <c r="N8" s="87"/>
      <c r="O8" s="88"/>
      <c r="P8" s="1"/>
    </row>
    <row r="9" ht="15.75" customHeight="1">
      <c r="A9" s="40"/>
      <c r="B9" s="141"/>
      <c r="J9" s="47"/>
      <c r="K9" s="84"/>
      <c r="L9" s="85" t="b">
        <v>0</v>
      </c>
      <c r="M9" s="86"/>
      <c r="N9" s="142"/>
      <c r="O9" s="88"/>
      <c r="P9" s="40"/>
    </row>
    <row r="10" ht="15.75" customHeight="1">
      <c r="A10" s="40"/>
      <c r="B10" s="141"/>
      <c r="J10" s="47"/>
      <c r="K10" s="84"/>
      <c r="L10" s="143" t="b">
        <v>0</v>
      </c>
      <c r="M10" s="86"/>
      <c r="N10" s="142"/>
      <c r="O10" s="144"/>
      <c r="P10" s="40"/>
    </row>
    <row r="11" ht="15.75" customHeight="1">
      <c r="A11" s="40"/>
      <c r="B11" s="141"/>
      <c r="J11" s="47"/>
      <c r="K11" s="145"/>
      <c r="L11" s="85" t="b">
        <v>0</v>
      </c>
      <c r="M11" s="146"/>
      <c r="N11" s="142"/>
      <c r="O11" s="144"/>
      <c r="P11" s="40"/>
    </row>
    <row r="12" ht="15.75" customHeight="1">
      <c r="A12" s="40"/>
      <c r="B12" s="141"/>
      <c r="J12" s="47"/>
      <c r="K12" s="145"/>
      <c r="L12" s="85" t="b">
        <v>0</v>
      </c>
      <c r="M12" s="146"/>
      <c r="N12" s="142"/>
      <c r="O12" s="144"/>
      <c r="P12" s="40"/>
    </row>
    <row r="13" ht="15.75" customHeight="1">
      <c r="A13" s="40"/>
      <c r="B13" s="89"/>
      <c r="C13" s="16"/>
      <c r="D13" s="16"/>
      <c r="E13" s="16"/>
      <c r="F13" s="16"/>
      <c r="G13" s="16"/>
      <c r="H13" s="16"/>
      <c r="I13" s="16"/>
      <c r="J13" s="90"/>
      <c r="K13" s="91"/>
      <c r="L13" s="92" t="b">
        <v>0</v>
      </c>
      <c r="M13" s="93"/>
      <c r="N13" s="94"/>
      <c r="O13" s="95"/>
      <c r="P13" s="40"/>
    </row>
    <row r="14" ht="15.75" customHeight="1">
      <c r="A14" s="40"/>
      <c r="B14" s="96"/>
      <c r="C14" s="1"/>
      <c r="D14" s="1"/>
      <c r="E14" s="1"/>
      <c r="F14" s="1"/>
      <c r="G14" s="1"/>
      <c r="H14" s="1"/>
      <c r="I14" s="1"/>
      <c r="J14" s="101" t="s">
        <v>85</v>
      </c>
      <c r="K14" s="102"/>
      <c r="L14" s="1"/>
      <c r="M14" s="1"/>
      <c r="N14" s="97"/>
      <c r="O14" s="97"/>
      <c r="P14" s="40"/>
    </row>
    <row r="15" ht="15.75" customHeight="1">
      <c r="A15" s="40"/>
      <c r="B15" s="96"/>
      <c r="C15" s="100"/>
      <c r="D15" s="100"/>
      <c r="E15" s="100"/>
      <c r="F15" s="100"/>
      <c r="G15" s="100"/>
      <c r="H15" s="100"/>
      <c r="I15" s="100"/>
      <c r="J15" s="108" t="s">
        <v>63</v>
      </c>
      <c r="K15" s="109"/>
      <c r="L15" s="110"/>
      <c r="M15" s="111" t="s">
        <v>64</v>
      </c>
      <c r="N15" s="109"/>
      <c r="O15" s="102"/>
      <c r="P15" s="40"/>
    </row>
    <row r="16" ht="15.75" customHeight="1">
      <c r="A16" s="40"/>
      <c r="B16" s="19" t="s">
        <v>86</v>
      </c>
      <c r="C16" s="100"/>
      <c r="D16" s="100"/>
      <c r="E16" s="100"/>
      <c r="F16" s="100"/>
      <c r="G16" s="100"/>
      <c r="H16" s="100"/>
      <c r="I16" s="100"/>
      <c r="J16" s="117" t="str">
        <f t="array" ref="J16">GPA({K8:K13,M8:M13,O8:O13},1,2)</f>
        <v>Loading...</v>
      </c>
      <c r="K16" s="118"/>
      <c r="L16" s="110"/>
      <c r="M16" s="119" t="str">
        <f t="array" ref="M16">CREDITSSUM({K8:K13,M8:M13},1,2)</f>
        <v>Loading...</v>
      </c>
      <c r="N16" s="118"/>
      <c r="O16" s="120"/>
      <c r="P16" s="40"/>
    </row>
    <row r="17" ht="31.5" customHeight="1">
      <c r="A17" s="40"/>
      <c r="B17" s="76" t="s">
        <v>53</v>
      </c>
      <c r="C17" s="8"/>
      <c r="D17" s="8"/>
      <c r="E17" s="8"/>
      <c r="F17" s="8"/>
      <c r="G17" s="8"/>
      <c r="H17" s="8"/>
      <c r="I17" s="8"/>
      <c r="J17" s="77"/>
      <c r="K17" s="78" t="s">
        <v>54</v>
      </c>
      <c r="L17" s="79" t="s">
        <v>55</v>
      </c>
      <c r="M17" s="80" t="s">
        <v>56</v>
      </c>
      <c r="N17" s="81"/>
      <c r="O17" s="82" t="s">
        <v>57</v>
      </c>
      <c r="P17" s="1"/>
    </row>
    <row r="18" ht="15.75" customHeight="1">
      <c r="A18" s="40"/>
      <c r="B18" s="83"/>
      <c r="J18" s="47"/>
      <c r="K18" s="84"/>
      <c r="L18" s="85"/>
      <c r="M18" s="86"/>
      <c r="N18" s="87"/>
      <c r="O18" s="88"/>
      <c r="P18" s="1"/>
    </row>
    <row r="19" ht="15.75" customHeight="1">
      <c r="A19" s="40"/>
      <c r="B19" s="141"/>
      <c r="J19" s="47"/>
      <c r="K19" s="84"/>
      <c r="L19" s="85" t="b">
        <v>0</v>
      </c>
      <c r="M19" s="86"/>
      <c r="N19" s="142"/>
      <c r="O19" s="88"/>
      <c r="P19" s="40"/>
    </row>
    <row r="20" ht="15.75" customHeight="1">
      <c r="A20" s="40"/>
      <c r="B20" s="141"/>
      <c r="J20" s="47"/>
      <c r="K20" s="84"/>
      <c r="L20" s="143" t="b">
        <v>0</v>
      </c>
      <c r="M20" s="86"/>
      <c r="N20" s="142"/>
      <c r="O20" s="144"/>
      <c r="P20" s="40"/>
    </row>
    <row r="21" ht="15.75" customHeight="1">
      <c r="A21" s="40"/>
      <c r="B21" s="141"/>
      <c r="J21" s="47"/>
      <c r="K21" s="145"/>
      <c r="L21" s="143" t="b">
        <v>0</v>
      </c>
      <c r="M21" s="146"/>
      <c r="N21" s="142"/>
      <c r="O21" s="144"/>
      <c r="P21" s="40"/>
    </row>
    <row r="22" ht="15.75" customHeight="1">
      <c r="A22" s="40"/>
      <c r="B22" s="141"/>
      <c r="J22" s="47"/>
      <c r="K22" s="145"/>
      <c r="L22" s="85" t="b">
        <v>0</v>
      </c>
      <c r="M22" s="146"/>
      <c r="N22" s="142"/>
      <c r="O22" s="144"/>
      <c r="P22" s="40"/>
    </row>
    <row r="23" ht="15.75" customHeight="1">
      <c r="A23" s="40"/>
      <c r="B23" s="89"/>
      <c r="C23" s="16"/>
      <c r="D23" s="16"/>
      <c r="E23" s="16"/>
      <c r="F23" s="16"/>
      <c r="G23" s="16"/>
      <c r="H23" s="16"/>
      <c r="I23" s="16"/>
      <c r="J23" s="90"/>
      <c r="K23" s="91"/>
      <c r="L23" s="92" t="b">
        <v>0</v>
      </c>
      <c r="M23" s="93"/>
      <c r="N23" s="94"/>
      <c r="O23" s="95"/>
      <c r="P23" s="40"/>
    </row>
    <row r="24" ht="15.75" customHeight="1">
      <c r="A24" s="40"/>
      <c r="B24" s="96"/>
      <c r="C24" s="1"/>
      <c r="D24" s="1"/>
      <c r="E24" s="1"/>
      <c r="F24" s="1"/>
      <c r="G24" s="1"/>
      <c r="H24" s="1"/>
      <c r="I24" s="1"/>
      <c r="J24" s="101" t="s">
        <v>87</v>
      </c>
      <c r="K24" s="102"/>
      <c r="L24" s="1"/>
      <c r="M24" s="1"/>
      <c r="N24" s="97"/>
      <c r="O24" s="97"/>
      <c r="P24" s="40"/>
    </row>
    <row r="25" ht="15.75" customHeight="1">
      <c r="A25" s="40"/>
      <c r="B25" s="96"/>
      <c r="C25" s="100"/>
      <c r="D25" s="100"/>
      <c r="E25" s="100"/>
      <c r="F25" s="100"/>
      <c r="G25" s="100"/>
      <c r="H25" s="100"/>
      <c r="I25" s="100"/>
      <c r="J25" s="108" t="s">
        <v>63</v>
      </c>
      <c r="K25" s="109"/>
      <c r="L25" s="110"/>
      <c r="M25" s="111" t="s">
        <v>64</v>
      </c>
      <c r="N25" s="109"/>
      <c r="O25" s="102"/>
      <c r="P25" s="40"/>
    </row>
    <row r="26" ht="15.75" customHeight="1">
      <c r="A26" s="40"/>
      <c r="B26" s="19" t="s">
        <v>88</v>
      </c>
      <c r="C26" s="100"/>
      <c r="D26" s="100"/>
      <c r="E26" s="100"/>
      <c r="F26" s="100"/>
      <c r="G26" s="100"/>
      <c r="H26" s="100"/>
      <c r="I26" s="100"/>
      <c r="J26" s="117" t="str">
        <f t="array" ref="J26">GPA({K18:K23,M18:M23,O18:O23},1,2)</f>
        <v>Loading...</v>
      </c>
      <c r="K26" s="118"/>
      <c r="L26" s="110"/>
      <c r="M26" s="119" t="str">
        <f t="array" ref="M26">CREDITSSUM({K18:K23,M18:M23},1,2)</f>
        <v>Loading...</v>
      </c>
      <c r="N26" s="118"/>
      <c r="O26" s="120"/>
      <c r="P26" s="40"/>
    </row>
    <row r="27" ht="31.5" customHeight="1">
      <c r="A27" s="40"/>
      <c r="B27" s="76" t="s">
        <v>53</v>
      </c>
      <c r="C27" s="8"/>
      <c r="D27" s="8"/>
      <c r="E27" s="8"/>
      <c r="F27" s="8"/>
      <c r="G27" s="8"/>
      <c r="H27" s="8"/>
      <c r="I27" s="8"/>
      <c r="J27" s="77"/>
      <c r="K27" s="78" t="s">
        <v>54</v>
      </c>
      <c r="L27" s="79" t="s">
        <v>55</v>
      </c>
      <c r="M27" s="80" t="s">
        <v>56</v>
      </c>
      <c r="N27" s="81"/>
      <c r="O27" s="82" t="s">
        <v>57</v>
      </c>
      <c r="P27" s="1"/>
    </row>
    <row r="28" ht="15.75" customHeight="1">
      <c r="A28" s="40"/>
      <c r="B28" s="83"/>
      <c r="J28" s="47"/>
      <c r="K28" s="84"/>
      <c r="L28" s="85"/>
      <c r="M28" s="86"/>
      <c r="N28" s="87"/>
      <c r="O28" s="88"/>
      <c r="P28" s="1"/>
    </row>
    <row r="29" ht="15.75" customHeight="1">
      <c r="A29" s="40"/>
      <c r="B29" s="141"/>
      <c r="J29" s="47"/>
      <c r="K29" s="84"/>
      <c r="L29" s="85" t="b">
        <v>0</v>
      </c>
      <c r="M29" s="86"/>
      <c r="N29" s="142"/>
      <c r="O29" s="88"/>
      <c r="P29" s="40"/>
    </row>
    <row r="30" ht="15.75" customHeight="1">
      <c r="A30" s="40"/>
      <c r="B30" s="141"/>
      <c r="J30" s="47"/>
      <c r="K30" s="84"/>
      <c r="L30" s="143" t="b">
        <v>0</v>
      </c>
      <c r="M30" s="86"/>
      <c r="N30" s="142"/>
      <c r="O30" s="144"/>
      <c r="P30" s="40"/>
    </row>
    <row r="31" ht="15.75" customHeight="1">
      <c r="A31" s="40"/>
      <c r="B31" s="141"/>
      <c r="J31" s="47"/>
      <c r="K31" s="145"/>
      <c r="L31" s="143" t="b">
        <v>0</v>
      </c>
      <c r="M31" s="146"/>
      <c r="N31" s="142"/>
      <c r="O31" s="144"/>
      <c r="P31" s="40"/>
    </row>
    <row r="32" ht="15.75" customHeight="1">
      <c r="A32" s="40"/>
      <c r="B32" s="141"/>
      <c r="J32" s="47"/>
      <c r="K32" s="145"/>
      <c r="L32" s="85" t="b">
        <v>0</v>
      </c>
      <c r="M32" s="146"/>
      <c r="N32" s="142"/>
      <c r="O32" s="144"/>
      <c r="P32" s="40"/>
    </row>
    <row r="33" ht="15.75" customHeight="1">
      <c r="A33" s="40"/>
      <c r="B33" s="89"/>
      <c r="C33" s="16"/>
      <c r="D33" s="16"/>
      <c r="E33" s="16"/>
      <c r="F33" s="16"/>
      <c r="G33" s="16"/>
      <c r="H33" s="16"/>
      <c r="I33" s="16"/>
      <c r="J33" s="90"/>
      <c r="K33" s="91"/>
      <c r="L33" s="92" t="b">
        <v>0</v>
      </c>
      <c r="M33" s="93"/>
      <c r="N33" s="94"/>
      <c r="O33" s="95"/>
      <c r="P33" s="40"/>
    </row>
    <row r="34" ht="15.75" customHeight="1">
      <c r="A34" s="40"/>
      <c r="B34" s="96"/>
      <c r="C34" s="1"/>
      <c r="D34" s="1"/>
      <c r="E34" s="1"/>
      <c r="F34" s="1"/>
      <c r="G34" s="1"/>
      <c r="H34" s="1"/>
      <c r="I34" s="1"/>
      <c r="J34" s="101" t="s">
        <v>89</v>
      </c>
      <c r="K34" s="102"/>
      <c r="L34" s="1"/>
      <c r="M34" s="1"/>
      <c r="N34" s="97"/>
      <c r="O34" s="97"/>
      <c r="P34" s="40"/>
    </row>
    <row r="35" ht="15.75" customHeight="1">
      <c r="A35" s="40"/>
      <c r="B35" s="96"/>
      <c r="C35" s="100"/>
      <c r="D35" s="100"/>
      <c r="E35" s="100"/>
      <c r="F35" s="100"/>
      <c r="G35" s="100"/>
      <c r="H35" s="100"/>
      <c r="I35" s="100"/>
      <c r="J35" s="108" t="s">
        <v>63</v>
      </c>
      <c r="K35" s="109"/>
      <c r="L35" s="110"/>
      <c r="M35" s="111" t="s">
        <v>64</v>
      </c>
      <c r="N35" s="109"/>
      <c r="O35" s="102"/>
      <c r="P35" s="40"/>
    </row>
    <row r="36" ht="15.75" customHeight="1">
      <c r="A36" s="40"/>
      <c r="B36" s="19" t="s">
        <v>88</v>
      </c>
      <c r="C36" s="100"/>
      <c r="D36" s="100"/>
      <c r="E36" s="100"/>
      <c r="F36" s="100"/>
      <c r="G36" s="100"/>
      <c r="H36" s="100"/>
      <c r="I36" s="100"/>
      <c r="J36" s="117" t="str">
        <f t="array" ref="J36">GPA({K28:K33,M28:M33,O28:O33},1,2)</f>
        <v>Loading...</v>
      </c>
      <c r="K36" s="118"/>
      <c r="L36" s="110"/>
      <c r="M36" s="119" t="str">
        <f t="array" ref="M36">CREDITSSUM({K28:K33,M28:M33},1,2)</f>
        <v>Loading...</v>
      </c>
      <c r="N36" s="118"/>
      <c r="O36" s="120"/>
      <c r="P36" s="40"/>
    </row>
    <row r="37" ht="31.5" customHeight="1">
      <c r="A37" s="40"/>
      <c r="B37" s="76" t="s">
        <v>53</v>
      </c>
      <c r="C37" s="8"/>
      <c r="D37" s="8"/>
      <c r="E37" s="8"/>
      <c r="F37" s="8"/>
      <c r="G37" s="8"/>
      <c r="H37" s="8"/>
      <c r="I37" s="8"/>
      <c r="J37" s="77"/>
      <c r="K37" s="78" t="s">
        <v>54</v>
      </c>
      <c r="L37" s="79" t="s">
        <v>55</v>
      </c>
      <c r="M37" s="80" t="s">
        <v>56</v>
      </c>
      <c r="N37" s="81"/>
      <c r="O37" s="82" t="s">
        <v>57</v>
      </c>
      <c r="P37" s="1"/>
    </row>
    <row r="38" ht="15.75" customHeight="1">
      <c r="A38" s="40"/>
      <c r="B38" s="83"/>
      <c r="J38" s="47"/>
      <c r="K38" s="84"/>
      <c r="L38" s="85"/>
      <c r="M38" s="86"/>
      <c r="N38" s="87"/>
      <c r="O38" s="88"/>
      <c r="P38" s="1"/>
    </row>
    <row r="39" ht="15.75" customHeight="1">
      <c r="A39" s="40"/>
      <c r="B39" s="141"/>
      <c r="J39" s="47"/>
      <c r="K39" s="84"/>
      <c r="L39" s="85" t="b">
        <v>0</v>
      </c>
      <c r="M39" s="86"/>
      <c r="N39" s="142"/>
      <c r="O39" s="88"/>
      <c r="P39" s="40"/>
    </row>
    <row r="40" ht="15.75" customHeight="1">
      <c r="A40" s="40"/>
      <c r="B40" s="141"/>
      <c r="J40" s="47"/>
      <c r="K40" s="84"/>
      <c r="L40" s="143" t="b">
        <v>0</v>
      </c>
      <c r="M40" s="86"/>
      <c r="N40" s="142"/>
      <c r="O40" s="144"/>
      <c r="P40" s="40"/>
    </row>
    <row r="41" ht="15.75" customHeight="1">
      <c r="A41" s="40"/>
      <c r="B41" s="141"/>
      <c r="J41" s="47"/>
      <c r="K41" s="145"/>
      <c r="L41" s="143" t="b">
        <v>0</v>
      </c>
      <c r="M41" s="146"/>
      <c r="N41" s="142"/>
      <c r="O41" s="144"/>
      <c r="P41" s="40"/>
    </row>
    <row r="42" ht="15.75" customHeight="1">
      <c r="A42" s="40"/>
      <c r="B42" s="141"/>
      <c r="J42" s="47"/>
      <c r="K42" s="145"/>
      <c r="L42" s="85" t="b">
        <v>0</v>
      </c>
      <c r="M42" s="146"/>
      <c r="N42" s="142"/>
      <c r="O42" s="144"/>
      <c r="P42" s="40"/>
    </row>
    <row r="43" ht="15.75" customHeight="1">
      <c r="A43" s="40"/>
      <c r="B43" s="89"/>
      <c r="C43" s="16"/>
      <c r="D43" s="16"/>
      <c r="E43" s="16"/>
      <c r="F43" s="16"/>
      <c r="G43" s="16"/>
      <c r="H43" s="16"/>
      <c r="I43" s="16"/>
      <c r="J43" s="90"/>
      <c r="K43" s="91"/>
      <c r="L43" s="92" t="b">
        <v>0</v>
      </c>
      <c r="M43" s="93"/>
      <c r="N43" s="94"/>
      <c r="O43" s="95"/>
      <c r="P43" s="40"/>
    </row>
    <row r="44" ht="15.75" customHeight="1">
      <c r="A44" s="40"/>
      <c r="B44" s="96"/>
      <c r="C44" s="1"/>
      <c r="D44" s="1"/>
      <c r="E44" s="1"/>
      <c r="F44" s="1"/>
      <c r="G44" s="1"/>
      <c r="H44" s="1"/>
      <c r="I44" s="1"/>
      <c r="J44" s="101" t="s">
        <v>89</v>
      </c>
      <c r="K44" s="102"/>
      <c r="L44" s="1"/>
      <c r="M44" s="1"/>
      <c r="N44" s="97"/>
      <c r="O44" s="97"/>
      <c r="P44" s="40"/>
    </row>
    <row r="45" ht="15.75" customHeight="1">
      <c r="A45" s="40"/>
      <c r="B45" s="98" t="s">
        <v>58</v>
      </c>
      <c r="C45" s="99"/>
      <c r="D45" s="99"/>
      <c r="E45" s="99"/>
      <c r="F45" s="99"/>
      <c r="G45" s="99"/>
      <c r="H45" s="99"/>
      <c r="I45" s="100"/>
      <c r="J45" s="108" t="s">
        <v>63</v>
      </c>
      <c r="K45" s="109"/>
      <c r="L45" s="110"/>
      <c r="M45" s="111" t="s">
        <v>64</v>
      </c>
      <c r="N45" s="109"/>
      <c r="O45" s="102"/>
      <c r="P45" s="40"/>
    </row>
    <row r="46" ht="15.75" customHeight="1">
      <c r="A46" s="40"/>
      <c r="B46" s="103" t="s">
        <v>60</v>
      </c>
      <c r="C46" s="104" t="s">
        <v>61</v>
      </c>
      <c r="D46" s="105"/>
      <c r="E46" s="106"/>
      <c r="F46" s="104" t="s">
        <v>62</v>
      </c>
      <c r="G46" s="105"/>
      <c r="H46" s="107"/>
      <c r="I46" s="100"/>
      <c r="J46" s="117" t="str">
        <f t="array" ref="J46">GPA({K38:K43,M38:M43,O38:O43},1,2)</f>
        <v>Loading...</v>
      </c>
      <c r="K46" s="118"/>
      <c r="L46" s="110"/>
      <c r="M46" s="119" t="str">
        <f t="array" ref="M46">CREDITSSUM({K38:K43,M38:M43},1,2)</f>
        <v>Loading...</v>
      </c>
      <c r="N46" s="118"/>
      <c r="O46" s="120"/>
      <c r="P46" s="40"/>
    </row>
    <row r="47" ht="15.75" customHeight="1">
      <c r="A47" s="40"/>
      <c r="B47" s="112"/>
      <c r="C47" s="113" t="s">
        <v>65</v>
      </c>
      <c r="D47" s="114" t="s">
        <v>66</v>
      </c>
      <c r="E47" s="115" t="s">
        <v>67</v>
      </c>
      <c r="F47" s="113" t="s">
        <v>65</v>
      </c>
      <c r="G47" s="114" t="s">
        <v>66</v>
      </c>
      <c r="H47" s="116" t="s">
        <v>67</v>
      </c>
      <c r="I47" s="110"/>
      <c r="J47" s="1"/>
      <c r="K47" s="1"/>
      <c r="L47" s="1"/>
      <c r="M47" s="1"/>
      <c r="N47" s="1"/>
      <c r="O47" s="1"/>
      <c r="P47" s="40"/>
    </row>
    <row r="48" ht="15.75" customHeight="1">
      <c r="A48" s="40"/>
      <c r="B48" s="121" t="s">
        <v>68</v>
      </c>
      <c r="C48" s="122"/>
      <c r="D48" s="84"/>
      <c r="E48" s="123"/>
      <c r="F48" s="86"/>
      <c r="G48" s="84"/>
      <c r="H48" s="124"/>
      <c r="I48" s="110"/>
      <c r="J48" s="101" t="s">
        <v>59</v>
      </c>
      <c r="K48" s="102"/>
      <c r="L48" s="1"/>
      <c r="M48" s="1"/>
      <c r="N48" s="97"/>
      <c r="O48" s="97"/>
      <c r="P48" s="40"/>
    </row>
    <row r="49" ht="15.75" customHeight="1">
      <c r="A49" s="40"/>
      <c r="B49" s="125" t="s">
        <v>69</v>
      </c>
      <c r="C49" s="126"/>
      <c r="D49" s="127"/>
      <c r="E49" s="128"/>
      <c r="F49" s="129"/>
      <c r="G49" s="127"/>
      <c r="H49" s="130"/>
      <c r="I49" s="110"/>
      <c r="J49" s="108" t="s">
        <v>63</v>
      </c>
      <c r="K49" s="109"/>
      <c r="L49" s="110"/>
      <c r="M49" s="111" t="s">
        <v>64</v>
      </c>
      <c r="N49" s="109"/>
      <c r="O49" s="102"/>
      <c r="P49" s="40"/>
    </row>
    <row r="50" ht="15.75" customHeight="1">
      <c r="A50" s="40"/>
      <c r="I50" s="110"/>
      <c r="J50" s="117" t="str">
        <f t="array" ref="J50">GPA({K8:K13,M8:M13,O8:O13;K18:K23,M18:M23,O18:O23;K28:K33,M28:M33,O28:O33;K38:K43,M38:M43,O38:O43},1,2)</f>
        <v>Loading...</v>
      </c>
      <c r="K50" s="118"/>
      <c r="L50" s="110"/>
      <c r="M50" s="119" t="str">
        <f t="array" ref="M50">CREDITSSUM({K8:K13,M8:M13;K18:K23,M18:M23;K28:K33,M28:M33;K38:K43,M38:M43},1,2)</f>
        <v>Loading...</v>
      </c>
      <c r="N50" s="118"/>
      <c r="O50" s="120"/>
      <c r="P50" s="40"/>
    </row>
    <row r="51" ht="15.75" customHeight="1">
      <c r="A51" s="40"/>
      <c r="I51" s="97"/>
      <c r="J51" s="97"/>
      <c r="K51" s="97"/>
      <c r="L51" s="131"/>
      <c r="M51" s="97"/>
      <c r="N51" s="97"/>
      <c r="O51" s="97"/>
      <c r="P51" s="40"/>
    </row>
    <row r="52" ht="15.75" customHeight="1">
      <c r="A52" s="40"/>
      <c r="B52" s="96"/>
      <c r="C52" s="97"/>
      <c r="D52" s="97"/>
      <c r="E52" s="97"/>
      <c r="F52" s="97"/>
      <c r="G52" s="97"/>
      <c r="H52" s="97"/>
      <c r="I52" s="97"/>
      <c r="J52" s="97"/>
      <c r="K52" s="97"/>
      <c r="L52" s="131"/>
      <c r="M52" s="97"/>
      <c r="N52" s="97"/>
      <c r="O52" s="97"/>
      <c r="P52" s="40"/>
    </row>
    <row r="53" ht="15.75" customHeight="1">
      <c r="A53" s="40"/>
      <c r="B53" s="96"/>
      <c r="C53" s="97"/>
      <c r="D53" s="97"/>
      <c r="E53" s="97"/>
      <c r="F53" s="97"/>
      <c r="G53" s="97"/>
      <c r="H53" s="97"/>
      <c r="I53" s="97"/>
      <c r="J53" s="97"/>
      <c r="K53" s="97"/>
      <c r="L53" s="131"/>
      <c r="M53" s="97"/>
      <c r="N53" s="97"/>
      <c r="O53" s="97"/>
      <c r="P53" s="40"/>
    </row>
  </sheetData>
  <mergeCells count="74">
    <mergeCell ref="B27:J27"/>
    <mergeCell ref="B28:J28"/>
    <mergeCell ref="B29:J29"/>
    <mergeCell ref="B30:J30"/>
    <mergeCell ref="B31:J31"/>
    <mergeCell ref="B32:J32"/>
    <mergeCell ref="B33:J33"/>
    <mergeCell ref="J44:K44"/>
    <mergeCell ref="J45:K45"/>
    <mergeCell ref="M45:O45"/>
    <mergeCell ref="M46:O46"/>
    <mergeCell ref="B37:J37"/>
    <mergeCell ref="B38:J38"/>
    <mergeCell ref="B39:J39"/>
    <mergeCell ref="B40:J40"/>
    <mergeCell ref="B41:J41"/>
    <mergeCell ref="B42:J42"/>
    <mergeCell ref="B43:J43"/>
    <mergeCell ref="M49:O49"/>
    <mergeCell ref="M50:O50"/>
    <mergeCell ref="B46:B47"/>
    <mergeCell ref="C46:E46"/>
    <mergeCell ref="F46:H46"/>
    <mergeCell ref="J46:K46"/>
    <mergeCell ref="J48:K48"/>
    <mergeCell ref="J49:K49"/>
    <mergeCell ref="J50:K50"/>
    <mergeCell ref="C1:H1"/>
    <mergeCell ref="I1:O1"/>
    <mergeCell ref="C2:E2"/>
    <mergeCell ref="F2:H2"/>
    <mergeCell ref="I2:J2"/>
    <mergeCell ref="K2:O2"/>
    <mergeCell ref="C3:E3"/>
    <mergeCell ref="K3:O3"/>
    <mergeCell ref="F3:H3"/>
    <mergeCell ref="I3:J3"/>
    <mergeCell ref="C4:E4"/>
    <mergeCell ref="F4:H4"/>
    <mergeCell ref="I4:J4"/>
    <mergeCell ref="K4:O4"/>
    <mergeCell ref="C5:E6"/>
    <mergeCell ref="K5:O6"/>
    <mergeCell ref="F5:H6"/>
    <mergeCell ref="I5:J6"/>
    <mergeCell ref="B7:J7"/>
    <mergeCell ref="B8:J8"/>
    <mergeCell ref="B9:J9"/>
    <mergeCell ref="B10:J10"/>
    <mergeCell ref="B11:J11"/>
    <mergeCell ref="B12:J12"/>
    <mergeCell ref="B13:J13"/>
    <mergeCell ref="J14:K14"/>
    <mergeCell ref="J15:K15"/>
    <mergeCell ref="M15:O15"/>
    <mergeCell ref="J16:K16"/>
    <mergeCell ref="M16:O16"/>
    <mergeCell ref="J24:K24"/>
    <mergeCell ref="J25:K25"/>
    <mergeCell ref="M25:O25"/>
    <mergeCell ref="J26:K26"/>
    <mergeCell ref="M26:O26"/>
    <mergeCell ref="B17:J17"/>
    <mergeCell ref="B18:J18"/>
    <mergeCell ref="B19:J19"/>
    <mergeCell ref="B20:J20"/>
    <mergeCell ref="B21:J21"/>
    <mergeCell ref="B22:J22"/>
    <mergeCell ref="B23:J23"/>
    <mergeCell ref="J34:K34"/>
    <mergeCell ref="J35:K35"/>
    <mergeCell ref="M35:O35"/>
    <mergeCell ref="J36:K36"/>
    <mergeCell ref="M36:O36"/>
  </mergeCells>
  <dataValidations>
    <dataValidation type="custom" allowBlank="1" showDropDown="1" showInputMessage="1" showErrorMessage="1" prompt="Enter a number" sqref="K8:K12 O8:O13 K18:K22 O18:O23 K28:K32 O28:O33 K38:K42 O38:O43">
      <formula1>ISNUMBER(K8)</formula1>
    </dataValidation>
    <dataValidation type="list" allowBlank="1" showInputMessage="1" showErrorMessage="1" prompt="Click and enter a valid scale from the list of items. The valid scales are Letter, 0-100, 0-4, and None" sqref="B3">
      <formula1>"Letter,0-4,0-100,None"</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8.88"/>
    <col customWidth="1" min="3" max="8" width="6.38"/>
    <col customWidth="1" hidden="1" min="9" max="9" width="18.88"/>
    <col customWidth="1" min="10" max="10" width="18.88"/>
    <col customWidth="1" min="11" max="11" width="6.38"/>
    <col customWidth="1" hidden="1" min="12" max="12" width="18.88"/>
    <col customWidth="1" min="13" max="13" width="6.38"/>
    <col customWidth="1" hidden="1" min="14" max="14" width="6.38"/>
    <col customWidth="1" min="15" max="15" width="6.38"/>
  </cols>
  <sheetData>
    <row r="1" ht="31.5" customHeight="1">
      <c r="A1" s="58"/>
      <c r="B1" s="1"/>
      <c r="C1" s="71" t="s">
        <v>5</v>
      </c>
      <c r="I1" s="58" t="s">
        <v>6</v>
      </c>
      <c r="P1" s="72"/>
    </row>
    <row r="2" ht="15.75" customHeight="1">
      <c r="A2" s="73"/>
      <c r="B2" s="74" t="s">
        <v>50</v>
      </c>
      <c r="C2" s="59" t="s">
        <v>8</v>
      </c>
      <c r="F2" s="60" t="str">
        <f>'Getting Started'!$G$10</f>
        <v/>
      </c>
      <c r="I2" s="59" t="s">
        <v>9</v>
      </c>
      <c r="K2" s="60" t="str">
        <f>'Getting Started'!$I$10</f>
        <v/>
      </c>
      <c r="P2" s="40"/>
    </row>
    <row r="3" ht="15.75" customHeight="1">
      <c r="A3" s="73"/>
      <c r="B3" s="75" t="s">
        <v>51</v>
      </c>
      <c r="C3" s="59" t="s">
        <v>11</v>
      </c>
      <c r="F3" s="61" t="str">
        <f>'Getting Started'!$G$11</f>
        <v/>
      </c>
      <c r="I3" s="59" t="s">
        <v>12</v>
      </c>
      <c r="K3" s="60" t="str">
        <f>'Getting Started'!$I$11</f>
        <v/>
      </c>
      <c r="P3" s="40"/>
    </row>
    <row r="4" ht="31.5" customHeight="1">
      <c r="A4" s="73"/>
      <c r="B4" s="1"/>
      <c r="C4" s="59" t="s">
        <v>13</v>
      </c>
      <c r="F4" s="60" t="str">
        <f>'Getting Started'!$G$12</f>
        <v/>
      </c>
      <c r="I4" s="59" t="s">
        <v>14</v>
      </c>
      <c r="K4" s="60" t="str">
        <f>'Getting Started'!$I$12</f>
        <v/>
      </c>
      <c r="P4" s="40"/>
    </row>
    <row r="5" ht="15.75" customHeight="1">
      <c r="A5" s="73"/>
      <c r="B5" s="1"/>
      <c r="C5" s="59" t="s">
        <v>15</v>
      </c>
      <c r="F5" s="62" t="str">
        <f>'Getting Started'!$G$14</f>
        <v/>
      </c>
      <c r="I5" s="59" t="s">
        <v>16</v>
      </c>
      <c r="K5" s="60" t="str">
        <f>'Getting Started'!$I$14</f>
        <v/>
      </c>
      <c r="P5" s="40"/>
    </row>
    <row r="6" ht="15.75" customHeight="1">
      <c r="A6" s="73"/>
      <c r="B6" s="19" t="s">
        <v>84</v>
      </c>
      <c r="P6" s="40"/>
    </row>
    <row r="7" ht="31.5" customHeight="1">
      <c r="A7" s="40"/>
      <c r="B7" s="76" t="s">
        <v>53</v>
      </c>
      <c r="C7" s="8"/>
      <c r="D7" s="8"/>
      <c r="E7" s="8"/>
      <c r="F7" s="8"/>
      <c r="G7" s="8"/>
      <c r="H7" s="8"/>
      <c r="I7" s="8"/>
      <c r="J7" s="77"/>
      <c r="K7" s="78" t="s">
        <v>54</v>
      </c>
      <c r="L7" s="79" t="s">
        <v>55</v>
      </c>
      <c r="M7" s="80" t="s">
        <v>56</v>
      </c>
      <c r="N7" s="81"/>
      <c r="O7" s="82" t="s">
        <v>57</v>
      </c>
      <c r="P7" s="1"/>
    </row>
    <row r="8" ht="15.75" customHeight="1">
      <c r="A8" s="40"/>
      <c r="B8" s="83"/>
      <c r="J8" s="47"/>
      <c r="K8" s="84"/>
      <c r="L8" s="85"/>
      <c r="M8" s="86"/>
      <c r="N8" s="87"/>
      <c r="O8" s="88"/>
      <c r="P8" s="1"/>
    </row>
    <row r="9" ht="15.75" customHeight="1">
      <c r="A9" s="40"/>
      <c r="B9" s="141"/>
      <c r="J9" s="47"/>
      <c r="K9" s="84"/>
      <c r="L9" s="85" t="b">
        <v>0</v>
      </c>
      <c r="M9" s="86"/>
      <c r="N9" s="142"/>
      <c r="O9" s="88"/>
      <c r="P9" s="40"/>
    </row>
    <row r="10" ht="15.75" customHeight="1">
      <c r="A10" s="40"/>
      <c r="B10" s="141"/>
      <c r="J10" s="47"/>
      <c r="K10" s="84"/>
      <c r="L10" s="143" t="b">
        <v>0</v>
      </c>
      <c r="M10" s="86"/>
      <c r="N10" s="142"/>
      <c r="O10" s="144"/>
      <c r="P10" s="40"/>
    </row>
    <row r="11" ht="15.75" customHeight="1">
      <c r="A11" s="40"/>
      <c r="B11" s="141"/>
      <c r="J11" s="47"/>
      <c r="K11" s="145"/>
      <c r="L11" s="85" t="b">
        <v>0</v>
      </c>
      <c r="M11" s="146"/>
      <c r="N11" s="142"/>
      <c r="O11" s="144"/>
      <c r="P11" s="40"/>
    </row>
    <row r="12" ht="15.75" customHeight="1">
      <c r="A12" s="40"/>
      <c r="B12" s="141"/>
      <c r="J12" s="47"/>
      <c r="K12" s="145"/>
      <c r="L12" s="85" t="b">
        <v>0</v>
      </c>
      <c r="M12" s="146"/>
      <c r="N12" s="142"/>
      <c r="O12" s="144"/>
      <c r="P12" s="40"/>
    </row>
    <row r="13" ht="15.75" customHeight="1">
      <c r="A13" s="40"/>
      <c r="B13" s="89"/>
      <c r="C13" s="16"/>
      <c r="D13" s="16"/>
      <c r="E13" s="16"/>
      <c r="F13" s="16"/>
      <c r="G13" s="16"/>
      <c r="H13" s="16"/>
      <c r="I13" s="16"/>
      <c r="J13" s="90"/>
      <c r="K13" s="91"/>
      <c r="L13" s="92" t="b">
        <v>0</v>
      </c>
      <c r="M13" s="93"/>
      <c r="N13" s="94"/>
      <c r="O13" s="95"/>
      <c r="P13" s="40"/>
    </row>
    <row r="14" ht="15.75" customHeight="1">
      <c r="A14" s="40"/>
      <c r="B14" s="96"/>
      <c r="C14" s="1"/>
      <c r="D14" s="1"/>
      <c r="E14" s="1"/>
      <c r="F14" s="1"/>
      <c r="G14" s="1"/>
      <c r="H14" s="1"/>
      <c r="I14" s="1"/>
      <c r="J14" s="101" t="s">
        <v>85</v>
      </c>
      <c r="K14" s="102"/>
      <c r="L14" s="1"/>
      <c r="M14" s="1"/>
      <c r="N14" s="97"/>
      <c r="O14" s="97"/>
      <c r="P14" s="40"/>
    </row>
    <row r="15" ht="15.75" customHeight="1">
      <c r="A15" s="40"/>
      <c r="B15" s="96"/>
      <c r="C15" s="100"/>
      <c r="D15" s="100"/>
      <c r="E15" s="100"/>
      <c r="F15" s="100"/>
      <c r="G15" s="100"/>
      <c r="H15" s="100"/>
      <c r="I15" s="100"/>
      <c r="J15" s="108" t="s">
        <v>63</v>
      </c>
      <c r="K15" s="109"/>
      <c r="L15" s="110"/>
      <c r="M15" s="111" t="s">
        <v>64</v>
      </c>
      <c r="N15" s="109"/>
      <c r="O15" s="102"/>
      <c r="P15" s="40"/>
    </row>
    <row r="16" ht="15.75" customHeight="1">
      <c r="A16" s="40"/>
      <c r="B16" s="19" t="s">
        <v>86</v>
      </c>
      <c r="C16" s="100"/>
      <c r="D16" s="100"/>
      <c r="E16" s="100"/>
      <c r="F16" s="100"/>
      <c r="G16" s="100"/>
      <c r="H16" s="100"/>
      <c r="I16" s="100"/>
      <c r="J16" s="117" t="str">
        <f t="array" ref="J16">GPA({K8:K13,M8:M13,O8:O13},1,2)</f>
        <v>Loading...</v>
      </c>
      <c r="K16" s="118"/>
      <c r="L16" s="110"/>
      <c r="M16" s="119" t="str">
        <f t="array" ref="M16">CREDITSSUM({K8:K13,M8:M13},1,2)</f>
        <v>Loading...</v>
      </c>
      <c r="N16" s="118"/>
      <c r="O16" s="120"/>
      <c r="P16" s="40"/>
    </row>
    <row r="17" ht="31.5" customHeight="1">
      <c r="A17" s="40"/>
      <c r="B17" s="76" t="s">
        <v>53</v>
      </c>
      <c r="C17" s="8"/>
      <c r="D17" s="8"/>
      <c r="E17" s="8"/>
      <c r="F17" s="8"/>
      <c r="G17" s="8"/>
      <c r="H17" s="8"/>
      <c r="I17" s="8"/>
      <c r="J17" s="77"/>
      <c r="K17" s="78" t="s">
        <v>54</v>
      </c>
      <c r="L17" s="79" t="s">
        <v>55</v>
      </c>
      <c r="M17" s="80" t="s">
        <v>56</v>
      </c>
      <c r="N17" s="81"/>
      <c r="O17" s="82" t="s">
        <v>57</v>
      </c>
      <c r="P17" s="1"/>
    </row>
    <row r="18" ht="15.75" customHeight="1">
      <c r="A18" s="40"/>
      <c r="B18" s="83"/>
      <c r="J18" s="47"/>
      <c r="K18" s="84"/>
      <c r="L18" s="85"/>
      <c r="M18" s="86"/>
      <c r="N18" s="87"/>
      <c r="O18" s="88"/>
      <c r="P18" s="1"/>
    </row>
    <row r="19" ht="15.75" customHeight="1">
      <c r="A19" s="40"/>
      <c r="B19" s="141"/>
      <c r="J19" s="47"/>
      <c r="K19" s="84"/>
      <c r="L19" s="85" t="b">
        <v>0</v>
      </c>
      <c r="M19" s="86"/>
      <c r="N19" s="142"/>
      <c r="O19" s="88"/>
      <c r="P19" s="40"/>
    </row>
    <row r="20" ht="15.75" customHeight="1">
      <c r="A20" s="40"/>
      <c r="B20" s="141"/>
      <c r="J20" s="47"/>
      <c r="K20" s="84"/>
      <c r="L20" s="143" t="b">
        <v>0</v>
      </c>
      <c r="M20" s="86"/>
      <c r="N20" s="142"/>
      <c r="O20" s="144"/>
      <c r="P20" s="40"/>
    </row>
    <row r="21" ht="15.75" customHeight="1">
      <c r="A21" s="40"/>
      <c r="B21" s="141"/>
      <c r="J21" s="47"/>
      <c r="K21" s="145"/>
      <c r="L21" s="143" t="b">
        <v>0</v>
      </c>
      <c r="M21" s="146"/>
      <c r="N21" s="142"/>
      <c r="O21" s="144"/>
      <c r="P21" s="40"/>
    </row>
    <row r="22" ht="15.75" customHeight="1">
      <c r="A22" s="40"/>
      <c r="B22" s="141"/>
      <c r="J22" s="47"/>
      <c r="K22" s="145"/>
      <c r="L22" s="85" t="b">
        <v>0</v>
      </c>
      <c r="M22" s="146"/>
      <c r="N22" s="142"/>
      <c r="O22" s="144"/>
      <c r="P22" s="40"/>
    </row>
    <row r="23" ht="15.75" customHeight="1">
      <c r="A23" s="40"/>
      <c r="B23" s="89"/>
      <c r="C23" s="16"/>
      <c r="D23" s="16"/>
      <c r="E23" s="16"/>
      <c r="F23" s="16"/>
      <c r="G23" s="16"/>
      <c r="H23" s="16"/>
      <c r="I23" s="16"/>
      <c r="J23" s="90"/>
      <c r="K23" s="91"/>
      <c r="L23" s="92" t="b">
        <v>0</v>
      </c>
      <c r="M23" s="93"/>
      <c r="N23" s="94"/>
      <c r="O23" s="95"/>
      <c r="P23" s="40"/>
    </row>
    <row r="24" ht="15.75" customHeight="1">
      <c r="A24" s="40"/>
      <c r="B24" s="96"/>
      <c r="C24" s="1"/>
      <c r="D24" s="1"/>
      <c r="E24" s="1"/>
      <c r="F24" s="1"/>
      <c r="G24" s="1"/>
      <c r="H24" s="1"/>
      <c r="I24" s="1"/>
      <c r="J24" s="101" t="s">
        <v>87</v>
      </c>
      <c r="K24" s="102"/>
      <c r="L24" s="1"/>
      <c r="M24" s="1"/>
      <c r="N24" s="97"/>
      <c r="O24" s="97"/>
      <c r="P24" s="40"/>
    </row>
    <row r="25" ht="15.75" customHeight="1">
      <c r="A25" s="40"/>
      <c r="B25" s="96"/>
      <c r="C25" s="100"/>
      <c r="D25" s="100"/>
      <c r="E25" s="100"/>
      <c r="F25" s="100"/>
      <c r="G25" s="100"/>
      <c r="H25" s="100"/>
      <c r="I25" s="100"/>
      <c r="J25" s="108" t="s">
        <v>63</v>
      </c>
      <c r="K25" s="109"/>
      <c r="L25" s="110"/>
      <c r="M25" s="111" t="s">
        <v>64</v>
      </c>
      <c r="N25" s="109"/>
      <c r="O25" s="102"/>
      <c r="P25" s="40"/>
    </row>
    <row r="26" ht="15.75" customHeight="1">
      <c r="A26" s="40"/>
      <c r="B26" s="19" t="s">
        <v>88</v>
      </c>
      <c r="C26" s="100"/>
      <c r="D26" s="100"/>
      <c r="E26" s="100"/>
      <c r="F26" s="100"/>
      <c r="G26" s="100"/>
      <c r="H26" s="100"/>
      <c r="I26" s="100"/>
      <c r="J26" s="117" t="str">
        <f t="array" ref="J26">GPA({K18:K23,M18:M23,O18:O23},1,2)</f>
        <v>Loading...</v>
      </c>
      <c r="K26" s="118"/>
      <c r="L26" s="110"/>
      <c r="M26" s="119" t="str">
        <f t="array" ref="M26">CREDITSSUM({K18:K23,M18:M23},1,2)</f>
        <v>Loading...</v>
      </c>
      <c r="N26" s="118"/>
      <c r="O26" s="120"/>
      <c r="P26" s="40"/>
    </row>
    <row r="27" ht="31.5" customHeight="1">
      <c r="A27" s="40"/>
      <c r="B27" s="76" t="s">
        <v>53</v>
      </c>
      <c r="C27" s="8"/>
      <c r="D27" s="8"/>
      <c r="E27" s="8"/>
      <c r="F27" s="8"/>
      <c r="G27" s="8"/>
      <c r="H27" s="8"/>
      <c r="I27" s="8"/>
      <c r="J27" s="77"/>
      <c r="K27" s="78" t="s">
        <v>54</v>
      </c>
      <c r="L27" s="79" t="s">
        <v>55</v>
      </c>
      <c r="M27" s="80" t="s">
        <v>56</v>
      </c>
      <c r="N27" s="81"/>
      <c r="O27" s="82" t="s">
        <v>57</v>
      </c>
      <c r="P27" s="1"/>
    </row>
    <row r="28" ht="15.75" customHeight="1">
      <c r="A28" s="40"/>
      <c r="B28" s="83"/>
      <c r="J28" s="47"/>
      <c r="K28" s="84"/>
      <c r="L28" s="85"/>
      <c r="M28" s="86"/>
      <c r="N28" s="87"/>
      <c r="O28" s="88"/>
      <c r="P28" s="1"/>
    </row>
    <row r="29" ht="15.75" customHeight="1">
      <c r="A29" s="40"/>
      <c r="B29" s="141"/>
      <c r="J29" s="47"/>
      <c r="K29" s="84"/>
      <c r="L29" s="85" t="b">
        <v>0</v>
      </c>
      <c r="M29" s="86"/>
      <c r="N29" s="142"/>
      <c r="O29" s="88"/>
      <c r="P29" s="40"/>
    </row>
    <row r="30" ht="15.75" customHeight="1">
      <c r="A30" s="40"/>
      <c r="B30" s="141"/>
      <c r="J30" s="47"/>
      <c r="K30" s="84"/>
      <c r="L30" s="143" t="b">
        <v>0</v>
      </c>
      <c r="M30" s="86"/>
      <c r="N30" s="142"/>
      <c r="O30" s="144"/>
      <c r="P30" s="40"/>
    </row>
    <row r="31" ht="15.75" customHeight="1">
      <c r="A31" s="40"/>
      <c r="B31" s="141"/>
      <c r="J31" s="47"/>
      <c r="K31" s="145"/>
      <c r="L31" s="143" t="b">
        <v>0</v>
      </c>
      <c r="M31" s="146"/>
      <c r="N31" s="142"/>
      <c r="O31" s="144"/>
      <c r="P31" s="40"/>
    </row>
    <row r="32" ht="15.75" customHeight="1">
      <c r="A32" s="40"/>
      <c r="B32" s="141"/>
      <c r="J32" s="47"/>
      <c r="K32" s="145"/>
      <c r="L32" s="85" t="b">
        <v>0</v>
      </c>
      <c r="M32" s="146"/>
      <c r="N32" s="142"/>
      <c r="O32" s="144"/>
      <c r="P32" s="40"/>
    </row>
    <row r="33" ht="15.75" customHeight="1">
      <c r="A33" s="40"/>
      <c r="B33" s="89"/>
      <c r="C33" s="16"/>
      <c r="D33" s="16"/>
      <c r="E33" s="16"/>
      <c r="F33" s="16"/>
      <c r="G33" s="16"/>
      <c r="H33" s="16"/>
      <c r="I33" s="16"/>
      <c r="J33" s="90"/>
      <c r="K33" s="91"/>
      <c r="L33" s="92" t="b">
        <v>0</v>
      </c>
      <c r="M33" s="93"/>
      <c r="N33" s="94"/>
      <c r="O33" s="95"/>
      <c r="P33" s="40"/>
    </row>
    <row r="34" ht="15.75" customHeight="1">
      <c r="A34" s="40"/>
      <c r="B34" s="96"/>
      <c r="C34" s="1"/>
      <c r="D34" s="1"/>
      <c r="E34" s="1"/>
      <c r="F34" s="1"/>
      <c r="G34" s="1"/>
      <c r="H34" s="1"/>
      <c r="I34" s="1"/>
      <c r="J34" s="101" t="s">
        <v>89</v>
      </c>
      <c r="K34" s="102"/>
      <c r="L34" s="1"/>
      <c r="M34" s="1"/>
      <c r="N34" s="97"/>
      <c r="O34" s="97"/>
      <c r="P34" s="40"/>
    </row>
    <row r="35" ht="15.75" customHeight="1">
      <c r="A35" s="40"/>
      <c r="B35" s="96"/>
      <c r="C35" s="100"/>
      <c r="D35" s="100"/>
      <c r="E35" s="100"/>
      <c r="F35" s="100"/>
      <c r="G35" s="100"/>
      <c r="H35" s="100"/>
      <c r="I35" s="100"/>
      <c r="J35" s="108" t="s">
        <v>63</v>
      </c>
      <c r="K35" s="109"/>
      <c r="L35" s="110"/>
      <c r="M35" s="111" t="s">
        <v>64</v>
      </c>
      <c r="N35" s="109"/>
      <c r="O35" s="102"/>
      <c r="P35" s="40"/>
    </row>
    <row r="36" ht="15.75" customHeight="1">
      <c r="A36" s="40"/>
      <c r="B36" s="19" t="s">
        <v>88</v>
      </c>
      <c r="C36" s="100"/>
      <c r="D36" s="100"/>
      <c r="E36" s="100"/>
      <c r="F36" s="100"/>
      <c r="G36" s="100"/>
      <c r="H36" s="100"/>
      <c r="I36" s="100"/>
      <c r="J36" s="117" t="str">
        <f t="array" ref="J36">GPA({K28:K33,M28:M33,O28:O33},1,2)</f>
        <v>Loading...</v>
      </c>
      <c r="K36" s="118"/>
      <c r="L36" s="110"/>
      <c r="M36" s="119" t="str">
        <f t="array" ref="M36">CREDITSSUM({K28:K33,M28:M33},1,2)</f>
        <v>Loading...</v>
      </c>
      <c r="N36" s="118"/>
      <c r="O36" s="120"/>
      <c r="P36" s="40"/>
    </row>
    <row r="37" ht="31.5" customHeight="1">
      <c r="A37" s="40"/>
      <c r="B37" s="76" t="s">
        <v>53</v>
      </c>
      <c r="C37" s="8"/>
      <c r="D37" s="8"/>
      <c r="E37" s="8"/>
      <c r="F37" s="8"/>
      <c r="G37" s="8"/>
      <c r="H37" s="8"/>
      <c r="I37" s="8"/>
      <c r="J37" s="77"/>
      <c r="K37" s="78" t="s">
        <v>54</v>
      </c>
      <c r="L37" s="79" t="s">
        <v>55</v>
      </c>
      <c r="M37" s="80" t="s">
        <v>56</v>
      </c>
      <c r="N37" s="81"/>
      <c r="O37" s="82" t="s">
        <v>57</v>
      </c>
      <c r="P37" s="1"/>
    </row>
    <row r="38" ht="15.75" customHeight="1">
      <c r="A38" s="40"/>
      <c r="B38" s="83"/>
      <c r="J38" s="47"/>
      <c r="K38" s="84"/>
      <c r="L38" s="85"/>
      <c r="M38" s="86"/>
      <c r="N38" s="87"/>
      <c r="O38" s="88"/>
      <c r="P38" s="1"/>
    </row>
    <row r="39" ht="15.75" customHeight="1">
      <c r="A39" s="40"/>
      <c r="B39" s="141"/>
      <c r="J39" s="47"/>
      <c r="K39" s="84"/>
      <c r="L39" s="85" t="b">
        <v>0</v>
      </c>
      <c r="M39" s="86"/>
      <c r="N39" s="142"/>
      <c r="O39" s="88"/>
      <c r="P39" s="40"/>
    </row>
    <row r="40" ht="15.75" customHeight="1">
      <c r="A40" s="40"/>
      <c r="B40" s="141"/>
      <c r="J40" s="47"/>
      <c r="K40" s="84"/>
      <c r="L40" s="143" t="b">
        <v>0</v>
      </c>
      <c r="M40" s="86"/>
      <c r="N40" s="142"/>
      <c r="O40" s="144"/>
      <c r="P40" s="40"/>
    </row>
    <row r="41" ht="15.75" customHeight="1">
      <c r="A41" s="40"/>
      <c r="B41" s="141"/>
      <c r="J41" s="47"/>
      <c r="K41" s="145"/>
      <c r="L41" s="143" t="b">
        <v>0</v>
      </c>
      <c r="M41" s="146"/>
      <c r="N41" s="142"/>
      <c r="O41" s="144"/>
      <c r="P41" s="40"/>
    </row>
    <row r="42" ht="15.75" customHeight="1">
      <c r="A42" s="40"/>
      <c r="B42" s="141"/>
      <c r="J42" s="47"/>
      <c r="K42" s="145"/>
      <c r="L42" s="85" t="b">
        <v>0</v>
      </c>
      <c r="M42" s="146"/>
      <c r="N42" s="142"/>
      <c r="O42" s="144"/>
      <c r="P42" s="40"/>
    </row>
    <row r="43" ht="15.75" customHeight="1">
      <c r="A43" s="40"/>
      <c r="B43" s="89"/>
      <c r="C43" s="16"/>
      <c r="D43" s="16"/>
      <c r="E43" s="16"/>
      <c r="F43" s="16"/>
      <c r="G43" s="16"/>
      <c r="H43" s="16"/>
      <c r="I43" s="16"/>
      <c r="J43" s="90"/>
      <c r="K43" s="91"/>
      <c r="L43" s="92" t="b">
        <v>0</v>
      </c>
      <c r="M43" s="93"/>
      <c r="N43" s="94"/>
      <c r="O43" s="95"/>
      <c r="P43" s="40"/>
    </row>
    <row r="44" ht="15.75" customHeight="1">
      <c r="A44" s="40"/>
      <c r="B44" s="96"/>
      <c r="C44" s="1"/>
      <c r="D44" s="1"/>
      <c r="E44" s="1"/>
      <c r="F44" s="1"/>
      <c r="G44" s="1"/>
      <c r="H44" s="1"/>
      <c r="I44" s="1"/>
      <c r="J44" s="101" t="s">
        <v>89</v>
      </c>
      <c r="K44" s="102"/>
      <c r="L44" s="1"/>
      <c r="M44" s="1"/>
      <c r="N44" s="97"/>
      <c r="O44" s="97"/>
      <c r="P44" s="40"/>
    </row>
    <row r="45" ht="15.75" customHeight="1">
      <c r="A45" s="40"/>
      <c r="B45" s="98" t="s">
        <v>58</v>
      </c>
      <c r="C45" s="99"/>
      <c r="D45" s="99"/>
      <c r="E45" s="99"/>
      <c r="F45" s="99"/>
      <c r="G45" s="99"/>
      <c r="H45" s="99"/>
      <c r="I45" s="100"/>
      <c r="J45" s="108" t="s">
        <v>63</v>
      </c>
      <c r="K45" s="109"/>
      <c r="L45" s="110"/>
      <c r="M45" s="111" t="s">
        <v>64</v>
      </c>
      <c r="N45" s="109"/>
      <c r="O45" s="102"/>
      <c r="P45" s="40"/>
    </row>
    <row r="46" ht="15.75" customHeight="1">
      <c r="A46" s="40"/>
      <c r="B46" s="103" t="s">
        <v>60</v>
      </c>
      <c r="C46" s="104" t="s">
        <v>61</v>
      </c>
      <c r="D46" s="105"/>
      <c r="E46" s="106"/>
      <c r="F46" s="104" t="s">
        <v>62</v>
      </c>
      <c r="G46" s="105"/>
      <c r="H46" s="107"/>
      <c r="I46" s="100"/>
      <c r="J46" s="117" t="str">
        <f t="array" ref="J46">GPA({K38:K43,M38:M43,O38:O43},1,2)</f>
        <v>Loading...</v>
      </c>
      <c r="K46" s="118"/>
      <c r="L46" s="110"/>
      <c r="M46" s="119" t="str">
        <f t="array" ref="M46">CREDITSSUM({K38:K43,M38:M43},1,2)</f>
        <v>Loading...</v>
      </c>
      <c r="N46" s="118"/>
      <c r="O46" s="120"/>
      <c r="P46" s="40"/>
    </row>
    <row r="47" ht="15.75" customHeight="1">
      <c r="A47" s="40"/>
      <c r="B47" s="112"/>
      <c r="C47" s="113" t="s">
        <v>65</v>
      </c>
      <c r="D47" s="114" t="s">
        <v>66</v>
      </c>
      <c r="E47" s="115" t="s">
        <v>67</v>
      </c>
      <c r="F47" s="113" t="s">
        <v>65</v>
      </c>
      <c r="G47" s="114" t="s">
        <v>66</v>
      </c>
      <c r="H47" s="116" t="s">
        <v>67</v>
      </c>
      <c r="I47" s="110"/>
      <c r="J47" s="1"/>
      <c r="K47" s="1"/>
      <c r="L47" s="1"/>
      <c r="M47" s="1"/>
      <c r="N47" s="1"/>
      <c r="O47" s="1"/>
      <c r="P47" s="40"/>
    </row>
    <row r="48" ht="15.75" customHeight="1">
      <c r="A48" s="40"/>
      <c r="B48" s="121" t="s">
        <v>68</v>
      </c>
      <c r="C48" s="122"/>
      <c r="D48" s="84"/>
      <c r="E48" s="123"/>
      <c r="F48" s="86"/>
      <c r="G48" s="84"/>
      <c r="H48" s="124"/>
      <c r="I48" s="110"/>
      <c r="J48" s="101" t="s">
        <v>59</v>
      </c>
      <c r="K48" s="102"/>
      <c r="L48" s="1"/>
      <c r="M48" s="1"/>
      <c r="N48" s="97"/>
      <c r="O48" s="97"/>
      <c r="P48" s="40"/>
    </row>
    <row r="49" ht="15.75" customHeight="1">
      <c r="A49" s="40"/>
      <c r="B49" s="125" t="s">
        <v>69</v>
      </c>
      <c r="C49" s="126"/>
      <c r="D49" s="127"/>
      <c r="E49" s="128"/>
      <c r="F49" s="129"/>
      <c r="G49" s="127"/>
      <c r="H49" s="130"/>
      <c r="I49" s="110"/>
      <c r="J49" s="108" t="s">
        <v>63</v>
      </c>
      <c r="K49" s="109"/>
      <c r="L49" s="110"/>
      <c r="M49" s="111" t="s">
        <v>64</v>
      </c>
      <c r="N49" s="109"/>
      <c r="O49" s="102"/>
      <c r="P49" s="40"/>
    </row>
    <row r="50" ht="15.75" customHeight="1">
      <c r="A50" s="40"/>
      <c r="I50" s="110"/>
      <c r="J50" s="117" t="str">
        <f t="array" ref="J50">GPA({K8:K13,M8:M13,O8:O13;K18:K23,M18:M23,O18:O23;K28:K33,M28:M33,O28:O33;K38:K43,M38:M43,O38:O43},1,2)</f>
        <v>Loading...</v>
      </c>
      <c r="K50" s="118"/>
      <c r="L50" s="110"/>
      <c r="M50" s="119" t="str">
        <f t="array" ref="M50">CREDITSSUM({K8:K13,M8:M13;K18:K23,M18:M23;K28:K33,M28:M33;K38:K43,M38:M43},1,2)</f>
        <v>Loading...</v>
      </c>
      <c r="N50" s="118"/>
      <c r="O50" s="120"/>
      <c r="P50" s="40"/>
    </row>
    <row r="51" ht="15.75" customHeight="1">
      <c r="A51" s="40"/>
      <c r="I51" s="97"/>
      <c r="J51" s="97"/>
      <c r="K51" s="97"/>
      <c r="L51" s="131"/>
      <c r="M51" s="97"/>
      <c r="N51" s="97"/>
      <c r="O51" s="97"/>
      <c r="P51" s="40"/>
    </row>
    <row r="52" ht="15.75" customHeight="1">
      <c r="A52" s="40"/>
      <c r="B52" s="96"/>
      <c r="C52" s="97"/>
      <c r="D52" s="97"/>
      <c r="E52" s="97"/>
      <c r="F52" s="97"/>
      <c r="G52" s="97"/>
      <c r="H52" s="97"/>
      <c r="I52" s="97"/>
      <c r="J52" s="97"/>
      <c r="K52" s="97"/>
      <c r="L52" s="131"/>
      <c r="M52" s="97"/>
      <c r="N52" s="97"/>
      <c r="O52" s="97"/>
      <c r="P52" s="40"/>
    </row>
    <row r="53" ht="15.75" customHeight="1">
      <c r="A53" s="40"/>
      <c r="B53" s="96"/>
      <c r="C53" s="97"/>
      <c r="D53" s="97"/>
      <c r="E53" s="97"/>
      <c r="F53" s="97"/>
      <c r="G53" s="97"/>
      <c r="H53" s="97"/>
      <c r="I53" s="97"/>
      <c r="J53" s="97"/>
      <c r="K53" s="97"/>
      <c r="L53" s="131"/>
      <c r="M53" s="97"/>
      <c r="N53" s="97"/>
      <c r="O53" s="97"/>
      <c r="P53" s="40"/>
    </row>
  </sheetData>
  <mergeCells count="74">
    <mergeCell ref="B27:J27"/>
    <mergeCell ref="B28:J28"/>
    <mergeCell ref="B29:J29"/>
    <mergeCell ref="B30:J30"/>
    <mergeCell ref="B31:J31"/>
    <mergeCell ref="B32:J32"/>
    <mergeCell ref="B33:J33"/>
    <mergeCell ref="J44:K44"/>
    <mergeCell ref="J45:K45"/>
    <mergeCell ref="M45:O45"/>
    <mergeCell ref="M46:O46"/>
    <mergeCell ref="B37:J37"/>
    <mergeCell ref="B38:J38"/>
    <mergeCell ref="B39:J39"/>
    <mergeCell ref="B40:J40"/>
    <mergeCell ref="B41:J41"/>
    <mergeCell ref="B42:J42"/>
    <mergeCell ref="B43:J43"/>
    <mergeCell ref="M49:O49"/>
    <mergeCell ref="M50:O50"/>
    <mergeCell ref="B46:B47"/>
    <mergeCell ref="C46:E46"/>
    <mergeCell ref="F46:H46"/>
    <mergeCell ref="J46:K46"/>
    <mergeCell ref="J48:K48"/>
    <mergeCell ref="J49:K49"/>
    <mergeCell ref="J50:K50"/>
    <mergeCell ref="C1:H1"/>
    <mergeCell ref="I1:O1"/>
    <mergeCell ref="C2:E2"/>
    <mergeCell ref="F2:H2"/>
    <mergeCell ref="I2:J2"/>
    <mergeCell ref="K2:O2"/>
    <mergeCell ref="C3:E3"/>
    <mergeCell ref="K3:O3"/>
    <mergeCell ref="F3:H3"/>
    <mergeCell ref="I3:J3"/>
    <mergeCell ref="C4:E4"/>
    <mergeCell ref="F4:H4"/>
    <mergeCell ref="I4:J4"/>
    <mergeCell ref="K4:O4"/>
    <mergeCell ref="C5:E6"/>
    <mergeCell ref="K5:O6"/>
    <mergeCell ref="F5:H6"/>
    <mergeCell ref="I5:J6"/>
    <mergeCell ref="B7:J7"/>
    <mergeCell ref="B8:J8"/>
    <mergeCell ref="B9:J9"/>
    <mergeCell ref="B10:J10"/>
    <mergeCell ref="B11:J11"/>
    <mergeCell ref="B12:J12"/>
    <mergeCell ref="B13:J13"/>
    <mergeCell ref="J14:K14"/>
    <mergeCell ref="J15:K15"/>
    <mergeCell ref="M15:O15"/>
    <mergeCell ref="J16:K16"/>
    <mergeCell ref="M16:O16"/>
    <mergeCell ref="J24:K24"/>
    <mergeCell ref="J25:K25"/>
    <mergeCell ref="M25:O25"/>
    <mergeCell ref="J26:K26"/>
    <mergeCell ref="M26:O26"/>
    <mergeCell ref="B17:J17"/>
    <mergeCell ref="B18:J18"/>
    <mergeCell ref="B19:J19"/>
    <mergeCell ref="B20:J20"/>
    <mergeCell ref="B21:J21"/>
    <mergeCell ref="B22:J22"/>
    <mergeCell ref="B23:J23"/>
    <mergeCell ref="J34:K34"/>
    <mergeCell ref="J35:K35"/>
    <mergeCell ref="M35:O35"/>
    <mergeCell ref="J36:K36"/>
    <mergeCell ref="M36:O36"/>
  </mergeCells>
  <dataValidations>
    <dataValidation type="custom" allowBlank="1" showDropDown="1" showInputMessage="1" showErrorMessage="1" prompt="Enter a number" sqref="K8:K12 O8:O13 K18:K22 O18:O23 K28:K32 O28:O33 K38:K42 O38:O43">
      <formula1>ISNUMBER(K8)</formula1>
    </dataValidation>
    <dataValidation type="list" allowBlank="1" showInputMessage="1" showErrorMessage="1" prompt="Click and enter a valid scale from the list of items. The valid scales are Letter, 0-100, 0-4, and None" sqref="B3">
      <formula1>"Letter,0-4,0-100,None"</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8.88"/>
    <col customWidth="1" min="3" max="8" width="6.38"/>
    <col customWidth="1" hidden="1" min="9" max="9" width="18.88"/>
    <col customWidth="1" min="10" max="10" width="18.88"/>
    <col customWidth="1" min="11" max="11" width="6.38"/>
    <col customWidth="1" hidden="1" min="12" max="12" width="18.88"/>
    <col customWidth="1" min="13" max="13" width="6.38"/>
    <col customWidth="1" hidden="1" min="14" max="14" width="6.38"/>
    <col customWidth="1" min="15" max="15" width="6.38"/>
  </cols>
  <sheetData>
    <row r="1" ht="31.5" customHeight="1">
      <c r="A1" s="58"/>
      <c r="B1" s="1"/>
      <c r="C1" s="71" t="s">
        <v>5</v>
      </c>
      <c r="I1" s="58" t="s">
        <v>6</v>
      </c>
      <c r="P1" s="72"/>
    </row>
    <row r="2" ht="15.75" customHeight="1">
      <c r="A2" s="73"/>
      <c r="B2" s="74" t="s">
        <v>50</v>
      </c>
      <c r="C2" s="59" t="s">
        <v>8</v>
      </c>
      <c r="F2" s="60" t="str">
        <f>'Getting Started'!$G$10</f>
        <v/>
      </c>
      <c r="I2" s="59" t="s">
        <v>9</v>
      </c>
      <c r="K2" s="60" t="str">
        <f>'Getting Started'!$I$10</f>
        <v/>
      </c>
      <c r="P2" s="40"/>
    </row>
    <row r="3" ht="15.75" customHeight="1">
      <c r="A3" s="73"/>
      <c r="B3" s="75" t="s">
        <v>51</v>
      </c>
      <c r="C3" s="59" t="s">
        <v>11</v>
      </c>
      <c r="F3" s="61" t="str">
        <f>'Getting Started'!$G$11</f>
        <v/>
      </c>
      <c r="I3" s="59" t="s">
        <v>12</v>
      </c>
      <c r="K3" s="60" t="str">
        <f>'Getting Started'!$I$11</f>
        <v/>
      </c>
      <c r="P3" s="40"/>
    </row>
    <row r="4" ht="31.5" customHeight="1">
      <c r="A4" s="73"/>
      <c r="B4" s="1"/>
      <c r="C4" s="59" t="s">
        <v>13</v>
      </c>
      <c r="F4" s="60" t="str">
        <f>'Getting Started'!$G$12</f>
        <v/>
      </c>
      <c r="I4" s="59" t="s">
        <v>14</v>
      </c>
      <c r="K4" s="60" t="str">
        <f>'Getting Started'!$I$12</f>
        <v/>
      </c>
      <c r="P4" s="40"/>
    </row>
    <row r="5" ht="15.75" customHeight="1">
      <c r="A5" s="73"/>
      <c r="B5" s="1"/>
      <c r="C5" s="59" t="s">
        <v>15</v>
      </c>
      <c r="F5" s="62" t="str">
        <f>'Getting Started'!$G$14</f>
        <v/>
      </c>
      <c r="I5" s="59" t="s">
        <v>16</v>
      </c>
      <c r="K5" s="60" t="str">
        <f>'Getting Started'!$I$14</f>
        <v/>
      </c>
      <c r="P5" s="40"/>
    </row>
    <row r="6" ht="15.75" customHeight="1">
      <c r="A6" s="73"/>
      <c r="B6" s="19" t="s">
        <v>84</v>
      </c>
      <c r="P6" s="40"/>
    </row>
    <row r="7" ht="31.5" customHeight="1">
      <c r="A7" s="40"/>
      <c r="B7" s="76" t="s">
        <v>53</v>
      </c>
      <c r="C7" s="8"/>
      <c r="D7" s="8"/>
      <c r="E7" s="8"/>
      <c r="F7" s="8"/>
      <c r="G7" s="8"/>
      <c r="H7" s="8"/>
      <c r="I7" s="8"/>
      <c r="J7" s="77"/>
      <c r="K7" s="78" t="s">
        <v>54</v>
      </c>
      <c r="L7" s="79" t="s">
        <v>55</v>
      </c>
      <c r="M7" s="80" t="s">
        <v>56</v>
      </c>
      <c r="N7" s="81"/>
      <c r="O7" s="82" t="s">
        <v>57</v>
      </c>
      <c r="P7" s="1"/>
    </row>
    <row r="8" ht="15.75" customHeight="1">
      <c r="A8" s="40"/>
      <c r="B8" s="83"/>
      <c r="J8" s="47"/>
      <c r="K8" s="84"/>
      <c r="L8" s="85"/>
      <c r="M8" s="86"/>
      <c r="N8" s="87"/>
      <c r="O8" s="88"/>
      <c r="P8" s="1"/>
    </row>
    <row r="9" ht="15.75" customHeight="1">
      <c r="A9" s="40"/>
      <c r="B9" s="141"/>
      <c r="J9" s="47"/>
      <c r="K9" s="84"/>
      <c r="L9" s="85" t="b">
        <v>0</v>
      </c>
      <c r="M9" s="86"/>
      <c r="N9" s="142"/>
      <c r="O9" s="88"/>
      <c r="P9" s="40"/>
    </row>
    <row r="10" ht="15.75" customHeight="1">
      <c r="A10" s="40"/>
      <c r="B10" s="141"/>
      <c r="J10" s="47"/>
      <c r="K10" s="84"/>
      <c r="L10" s="143" t="b">
        <v>0</v>
      </c>
      <c r="M10" s="86"/>
      <c r="N10" s="142"/>
      <c r="O10" s="144"/>
      <c r="P10" s="40"/>
    </row>
    <row r="11" ht="15.75" customHeight="1">
      <c r="A11" s="40"/>
      <c r="B11" s="141"/>
      <c r="J11" s="47"/>
      <c r="K11" s="145"/>
      <c r="L11" s="85" t="b">
        <v>0</v>
      </c>
      <c r="M11" s="146"/>
      <c r="N11" s="142"/>
      <c r="O11" s="144"/>
      <c r="P11" s="40"/>
    </row>
    <row r="12" ht="15.75" customHeight="1">
      <c r="A12" s="40"/>
      <c r="B12" s="141"/>
      <c r="J12" s="47"/>
      <c r="K12" s="145"/>
      <c r="L12" s="85" t="b">
        <v>0</v>
      </c>
      <c r="M12" s="146"/>
      <c r="N12" s="142"/>
      <c r="O12" s="144"/>
      <c r="P12" s="40"/>
    </row>
    <row r="13" ht="15.75" customHeight="1">
      <c r="A13" s="40"/>
      <c r="B13" s="89"/>
      <c r="C13" s="16"/>
      <c r="D13" s="16"/>
      <c r="E13" s="16"/>
      <c r="F13" s="16"/>
      <c r="G13" s="16"/>
      <c r="H13" s="16"/>
      <c r="I13" s="16"/>
      <c r="J13" s="90"/>
      <c r="K13" s="91"/>
      <c r="L13" s="92" t="b">
        <v>0</v>
      </c>
      <c r="M13" s="93"/>
      <c r="N13" s="94"/>
      <c r="O13" s="95"/>
      <c r="P13" s="40"/>
    </row>
    <row r="14" ht="15.75" customHeight="1">
      <c r="A14" s="40"/>
      <c r="B14" s="96"/>
      <c r="C14" s="1"/>
      <c r="D14" s="1"/>
      <c r="E14" s="1"/>
      <c r="F14" s="1"/>
      <c r="G14" s="1"/>
      <c r="H14" s="1"/>
      <c r="I14" s="1"/>
      <c r="J14" s="101" t="s">
        <v>85</v>
      </c>
      <c r="K14" s="102"/>
      <c r="L14" s="1"/>
      <c r="M14" s="1"/>
      <c r="N14" s="97"/>
      <c r="O14" s="97"/>
      <c r="P14" s="40"/>
    </row>
    <row r="15" ht="15.75" customHeight="1">
      <c r="A15" s="40"/>
      <c r="B15" s="96"/>
      <c r="C15" s="100"/>
      <c r="D15" s="100"/>
      <c r="E15" s="100"/>
      <c r="F15" s="100"/>
      <c r="G15" s="100"/>
      <c r="H15" s="100"/>
      <c r="I15" s="100"/>
      <c r="J15" s="108" t="s">
        <v>63</v>
      </c>
      <c r="K15" s="109"/>
      <c r="L15" s="110"/>
      <c r="M15" s="111" t="s">
        <v>64</v>
      </c>
      <c r="N15" s="109"/>
      <c r="O15" s="102"/>
      <c r="P15" s="40"/>
    </row>
    <row r="16" ht="15.75" customHeight="1">
      <c r="A16" s="40"/>
      <c r="B16" s="19" t="s">
        <v>86</v>
      </c>
      <c r="C16" s="100"/>
      <c r="D16" s="100"/>
      <c r="E16" s="100"/>
      <c r="F16" s="100"/>
      <c r="G16" s="100"/>
      <c r="H16" s="100"/>
      <c r="I16" s="100"/>
      <c r="J16" s="117" t="str">
        <f t="array" ref="J16">GPA({K8:K13,M8:M13,O8:O13},1,2)</f>
        <v>Loading...</v>
      </c>
      <c r="K16" s="118"/>
      <c r="L16" s="110"/>
      <c r="M16" s="119" t="str">
        <f t="array" ref="M16">CREDITSSUM({K8:K13,M8:M13},1,2)</f>
        <v>Loading...</v>
      </c>
      <c r="N16" s="118"/>
      <c r="O16" s="120"/>
      <c r="P16" s="40"/>
    </row>
    <row r="17" ht="31.5" customHeight="1">
      <c r="A17" s="40"/>
      <c r="B17" s="76" t="s">
        <v>53</v>
      </c>
      <c r="C17" s="8"/>
      <c r="D17" s="8"/>
      <c r="E17" s="8"/>
      <c r="F17" s="8"/>
      <c r="G17" s="8"/>
      <c r="H17" s="8"/>
      <c r="I17" s="8"/>
      <c r="J17" s="77"/>
      <c r="K17" s="78" t="s">
        <v>54</v>
      </c>
      <c r="L17" s="79" t="s">
        <v>55</v>
      </c>
      <c r="M17" s="80" t="s">
        <v>56</v>
      </c>
      <c r="N17" s="81"/>
      <c r="O17" s="82" t="s">
        <v>57</v>
      </c>
      <c r="P17" s="1"/>
    </row>
    <row r="18" ht="15.75" customHeight="1">
      <c r="A18" s="40"/>
      <c r="B18" s="83"/>
      <c r="J18" s="47"/>
      <c r="K18" s="84"/>
      <c r="L18" s="85"/>
      <c r="M18" s="86"/>
      <c r="N18" s="87"/>
      <c r="O18" s="88"/>
      <c r="P18" s="1"/>
    </row>
    <row r="19" ht="15.75" customHeight="1">
      <c r="A19" s="40"/>
      <c r="B19" s="141"/>
      <c r="J19" s="47"/>
      <c r="K19" s="84"/>
      <c r="L19" s="85" t="b">
        <v>0</v>
      </c>
      <c r="M19" s="86"/>
      <c r="N19" s="142"/>
      <c r="O19" s="88"/>
      <c r="P19" s="40"/>
    </row>
    <row r="20" ht="15.75" customHeight="1">
      <c r="A20" s="40"/>
      <c r="B20" s="141"/>
      <c r="J20" s="47"/>
      <c r="K20" s="84"/>
      <c r="L20" s="143" t="b">
        <v>0</v>
      </c>
      <c r="M20" s="86"/>
      <c r="N20" s="142"/>
      <c r="O20" s="144"/>
      <c r="P20" s="40"/>
    </row>
    <row r="21" ht="15.75" customHeight="1">
      <c r="A21" s="40"/>
      <c r="B21" s="141"/>
      <c r="J21" s="47"/>
      <c r="K21" s="145"/>
      <c r="L21" s="143" t="b">
        <v>0</v>
      </c>
      <c r="M21" s="146"/>
      <c r="N21" s="142"/>
      <c r="O21" s="144"/>
      <c r="P21" s="40"/>
    </row>
    <row r="22" ht="15.75" customHeight="1">
      <c r="A22" s="40"/>
      <c r="B22" s="141"/>
      <c r="J22" s="47"/>
      <c r="K22" s="145"/>
      <c r="L22" s="85" t="b">
        <v>0</v>
      </c>
      <c r="M22" s="146"/>
      <c r="N22" s="142"/>
      <c r="O22" s="144"/>
      <c r="P22" s="40"/>
    </row>
    <row r="23" ht="15.75" customHeight="1">
      <c r="A23" s="40"/>
      <c r="B23" s="89"/>
      <c r="C23" s="16"/>
      <c r="D23" s="16"/>
      <c r="E23" s="16"/>
      <c r="F23" s="16"/>
      <c r="G23" s="16"/>
      <c r="H23" s="16"/>
      <c r="I23" s="16"/>
      <c r="J23" s="90"/>
      <c r="K23" s="91"/>
      <c r="L23" s="92" t="b">
        <v>0</v>
      </c>
      <c r="M23" s="93"/>
      <c r="N23" s="94"/>
      <c r="O23" s="95"/>
      <c r="P23" s="40"/>
    </row>
    <row r="24" ht="15.75" customHeight="1">
      <c r="A24" s="40"/>
      <c r="B24" s="96"/>
      <c r="C24" s="1"/>
      <c r="D24" s="1"/>
      <c r="E24" s="1"/>
      <c r="F24" s="1"/>
      <c r="G24" s="1"/>
      <c r="H24" s="1"/>
      <c r="I24" s="1"/>
      <c r="J24" s="101" t="s">
        <v>87</v>
      </c>
      <c r="K24" s="102"/>
      <c r="L24" s="1"/>
      <c r="M24" s="1"/>
      <c r="N24" s="97"/>
      <c r="O24" s="97"/>
      <c r="P24" s="40"/>
    </row>
    <row r="25" ht="15.75" customHeight="1">
      <c r="A25" s="40"/>
      <c r="B25" s="96"/>
      <c r="C25" s="100"/>
      <c r="D25" s="100"/>
      <c r="E25" s="100"/>
      <c r="F25" s="100"/>
      <c r="G25" s="100"/>
      <c r="H25" s="100"/>
      <c r="I25" s="100"/>
      <c r="J25" s="108" t="s">
        <v>63</v>
      </c>
      <c r="K25" s="109"/>
      <c r="L25" s="110"/>
      <c r="M25" s="111" t="s">
        <v>64</v>
      </c>
      <c r="N25" s="109"/>
      <c r="O25" s="102"/>
      <c r="P25" s="40"/>
    </row>
    <row r="26" ht="15.75" customHeight="1">
      <c r="A26" s="40"/>
      <c r="B26" s="19" t="s">
        <v>88</v>
      </c>
      <c r="C26" s="100"/>
      <c r="D26" s="100"/>
      <c r="E26" s="100"/>
      <c r="F26" s="100"/>
      <c r="G26" s="100"/>
      <c r="H26" s="100"/>
      <c r="I26" s="100"/>
      <c r="J26" s="117" t="str">
        <f t="array" ref="J26">GPA({K18:K23,M18:M23,O18:O23},1,2)</f>
        <v>Loading...</v>
      </c>
      <c r="K26" s="118"/>
      <c r="L26" s="110"/>
      <c r="M26" s="119" t="str">
        <f t="array" ref="M26">CREDITSSUM({K18:K23,M18:M23},1,2)</f>
        <v>Loading...</v>
      </c>
      <c r="N26" s="118"/>
      <c r="O26" s="120"/>
      <c r="P26" s="40"/>
    </row>
    <row r="27" ht="31.5" customHeight="1">
      <c r="A27" s="40"/>
      <c r="B27" s="76" t="s">
        <v>53</v>
      </c>
      <c r="C27" s="8"/>
      <c r="D27" s="8"/>
      <c r="E27" s="8"/>
      <c r="F27" s="8"/>
      <c r="G27" s="8"/>
      <c r="H27" s="8"/>
      <c r="I27" s="8"/>
      <c r="J27" s="77"/>
      <c r="K27" s="78" t="s">
        <v>54</v>
      </c>
      <c r="L27" s="79" t="s">
        <v>55</v>
      </c>
      <c r="M27" s="80" t="s">
        <v>56</v>
      </c>
      <c r="N27" s="81"/>
      <c r="O27" s="82" t="s">
        <v>57</v>
      </c>
      <c r="P27" s="1"/>
    </row>
    <row r="28" ht="15.75" customHeight="1">
      <c r="A28" s="40"/>
      <c r="B28" s="83"/>
      <c r="J28" s="47"/>
      <c r="K28" s="84"/>
      <c r="L28" s="85"/>
      <c r="M28" s="86"/>
      <c r="N28" s="87"/>
      <c r="O28" s="88"/>
      <c r="P28" s="1"/>
    </row>
    <row r="29" ht="15.75" customHeight="1">
      <c r="A29" s="40"/>
      <c r="B29" s="141"/>
      <c r="J29" s="47"/>
      <c r="K29" s="84"/>
      <c r="L29" s="85" t="b">
        <v>0</v>
      </c>
      <c r="M29" s="86"/>
      <c r="N29" s="142"/>
      <c r="O29" s="88"/>
      <c r="P29" s="40"/>
    </row>
    <row r="30" ht="15.75" customHeight="1">
      <c r="A30" s="40"/>
      <c r="B30" s="141"/>
      <c r="J30" s="47"/>
      <c r="K30" s="84"/>
      <c r="L30" s="143" t="b">
        <v>0</v>
      </c>
      <c r="M30" s="86"/>
      <c r="N30" s="142"/>
      <c r="O30" s="144"/>
      <c r="P30" s="40"/>
    </row>
    <row r="31" ht="15.75" customHeight="1">
      <c r="A31" s="40"/>
      <c r="B31" s="141"/>
      <c r="J31" s="47"/>
      <c r="K31" s="145"/>
      <c r="L31" s="143" t="b">
        <v>0</v>
      </c>
      <c r="M31" s="146"/>
      <c r="N31" s="142"/>
      <c r="O31" s="144"/>
      <c r="P31" s="40"/>
    </row>
    <row r="32" ht="15.75" customHeight="1">
      <c r="A32" s="40"/>
      <c r="B32" s="141"/>
      <c r="J32" s="47"/>
      <c r="K32" s="145"/>
      <c r="L32" s="85" t="b">
        <v>0</v>
      </c>
      <c r="M32" s="146"/>
      <c r="N32" s="142"/>
      <c r="O32" s="144"/>
      <c r="P32" s="40"/>
    </row>
    <row r="33" ht="15.75" customHeight="1">
      <c r="A33" s="40"/>
      <c r="B33" s="89"/>
      <c r="C33" s="16"/>
      <c r="D33" s="16"/>
      <c r="E33" s="16"/>
      <c r="F33" s="16"/>
      <c r="G33" s="16"/>
      <c r="H33" s="16"/>
      <c r="I33" s="16"/>
      <c r="J33" s="90"/>
      <c r="K33" s="91"/>
      <c r="L33" s="92" t="b">
        <v>0</v>
      </c>
      <c r="M33" s="93"/>
      <c r="N33" s="94"/>
      <c r="O33" s="95"/>
      <c r="P33" s="40"/>
    </row>
    <row r="34" ht="15.75" customHeight="1">
      <c r="A34" s="40"/>
      <c r="B34" s="96"/>
      <c r="C34" s="1"/>
      <c r="D34" s="1"/>
      <c r="E34" s="1"/>
      <c r="F34" s="1"/>
      <c r="G34" s="1"/>
      <c r="H34" s="1"/>
      <c r="I34" s="1"/>
      <c r="J34" s="101" t="s">
        <v>89</v>
      </c>
      <c r="K34" s="102"/>
      <c r="L34" s="1"/>
      <c r="M34" s="1"/>
      <c r="N34" s="97"/>
      <c r="O34" s="97"/>
      <c r="P34" s="40"/>
    </row>
    <row r="35" ht="15.75" customHeight="1">
      <c r="A35" s="40"/>
      <c r="B35" s="96"/>
      <c r="C35" s="100"/>
      <c r="D35" s="100"/>
      <c r="E35" s="100"/>
      <c r="F35" s="100"/>
      <c r="G35" s="100"/>
      <c r="H35" s="100"/>
      <c r="I35" s="100"/>
      <c r="J35" s="108" t="s">
        <v>63</v>
      </c>
      <c r="K35" s="109"/>
      <c r="L35" s="110"/>
      <c r="M35" s="111" t="s">
        <v>64</v>
      </c>
      <c r="N35" s="109"/>
      <c r="O35" s="102"/>
      <c r="P35" s="40"/>
    </row>
    <row r="36" ht="15.75" customHeight="1">
      <c r="A36" s="40"/>
      <c r="B36" s="19" t="s">
        <v>88</v>
      </c>
      <c r="C36" s="100"/>
      <c r="D36" s="100"/>
      <c r="E36" s="100"/>
      <c r="F36" s="100"/>
      <c r="G36" s="100"/>
      <c r="H36" s="100"/>
      <c r="I36" s="100"/>
      <c r="J36" s="117" t="str">
        <f t="array" ref="J36">GPA({K28:K33,M28:M33,O28:O33},1,2)</f>
        <v>Loading...</v>
      </c>
      <c r="K36" s="118"/>
      <c r="L36" s="110"/>
      <c r="M36" s="119" t="str">
        <f t="array" ref="M36">CREDITSSUM({K28:K33,M28:M33},1,2)</f>
        <v>Loading...</v>
      </c>
      <c r="N36" s="118"/>
      <c r="O36" s="120"/>
      <c r="P36" s="40"/>
    </row>
    <row r="37" ht="31.5" customHeight="1">
      <c r="A37" s="40"/>
      <c r="B37" s="76" t="s">
        <v>53</v>
      </c>
      <c r="C37" s="8"/>
      <c r="D37" s="8"/>
      <c r="E37" s="8"/>
      <c r="F37" s="8"/>
      <c r="G37" s="8"/>
      <c r="H37" s="8"/>
      <c r="I37" s="8"/>
      <c r="J37" s="77"/>
      <c r="K37" s="78" t="s">
        <v>54</v>
      </c>
      <c r="L37" s="79" t="s">
        <v>55</v>
      </c>
      <c r="M37" s="80" t="s">
        <v>56</v>
      </c>
      <c r="N37" s="81"/>
      <c r="O37" s="82" t="s">
        <v>57</v>
      </c>
      <c r="P37" s="1"/>
    </row>
    <row r="38" ht="15.75" customHeight="1">
      <c r="A38" s="40"/>
      <c r="B38" s="83"/>
      <c r="J38" s="47"/>
      <c r="K38" s="84"/>
      <c r="L38" s="85"/>
      <c r="M38" s="86"/>
      <c r="N38" s="87"/>
      <c r="O38" s="88"/>
      <c r="P38" s="1"/>
    </row>
    <row r="39" ht="15.75" customHeight="1">
      <c r="A39" s="40"/>
      <c r="B39" s="141"/>
      <c r="J39" s="47"/>
      <c r="K39" s="84"/>
      <c r="L39" s="85" t="b">
        <v>0</v>
      </c>
      <c r="M39" s="86"/>
      <c r="N39" s="142"/>
      <c r="O39" s="88"/>
      <c r="P39" s="40"/>
    </row>
    <row r="40" ht="15.75" customHeight="1">
      <c r="A40" s="40"/>
      <c r="B40" s="141"/>
      <c r="J40" s="47"/>
      <c r="K40" s="84"/>
      <c r="L40" s="143" t="b">
        <v>0</v>
      </c>
      <c r="M40" s="86"/>
      <c r="N40" s="142"/>
      <c r="O40" s="144"/>
      <c r="P40" s="40"/>
    </row>
    <row r="41" ht="15.75" customHeight="1">
      <c r="A41" s="40"/>
      <c r="B41" s="141"/>
      <c r="J41" s="47"/>
      <c r="K41" s="145"/>
      <c r="L41" s="143" t="b">
        <v>0</v>
      </c>
      <c r="M41" s="146"/>
      <c r="N41" s="142"/>
      <c r="O41" s="144"/>
      <c r="P41" s="40"/>
    </row>
    <row r="42" ht="15.75" customHeight="1">
      <c r="A42" s="40"/>
      <c r="B42" s="141"/>
      <c r="J42" s="47"/>
      <c r="K42" s="145"/>
      <c r="L42" s="85" t="b">
        <v>0</v>
      </c>
      <c r="M42" s="146"/>
      <c r="N42" s="142"/>
      <c r="O42" s="144"/>
      <c r="P42" s="40"/>
    </row>
    <row r="43" ht="15.75" customHeight="1">
      <c r="A43" s="40"/>
      <c r="B43" s="89"/>
      <c r="C43" s="16"/>
      <c r="D43" s="16"/>
      <c r="E43" s="16"/>
      <c r="F43" s="16"/>
      <c r="G43" s="16"/>
      <c r="H43" s="16"/>
      <c r="I43" s="16"/>
      <c r="J43" s="90"/>
      <c r="K43" s="91"/>
      <c r="L43" s="92" t="b">
        <v>0</v>
      </c>
      <c r="M43" s="93"/>
      <c r="N43" s="94"/>
      <c r="O43" s="95"/>
      <c r="P43" s="40"/>
    </row>
    <row r="44" ht="15.75" customHeight="1">
      <c r="A44" s="40"/>
      <c r="B44" s="96"/>
      <c r="C44" s="1"/>
      <c r="D44" s="1"/>
      <c r="E44" s="1"/>
      <c r="F44" s="1"/>
      <c r="G44" s="1"/>
      <c r="H44" s="1"/>
      <c r="I44" s="1"/>
      <c r="J44" s="101" t="s">
        <v>89</v>
      </c>
      <c r="K44" s="102"/>
      <c r="L44" s="1"/>
      <c r="M44" s="1"/>
      <c r="N44" s="97"/>
      <c r="O44" s="97"/>
      <c r="P44" s="40"/>
    </row>
    <row r="45" ht="15.75" customHeight="1">
      <c r="A45" s="40"/>
      <c r="B45" s="98" t="s">
        <v>58</v>
      </c>
      <c r="C45" s="99"/>
      <c r="D45" s="99"/>
      <c r="E45" s="99"/>
      <c r="F45" s="99"/>
      <c r="G45" s="99"/>
      <c r="H45" s="99"/>
      <c r="I45" s="100"/>
      <c r="J45" s="108" t="s">
        <v>63</v>
      </c>
      <c r="K45" s="109"/>
      <c r="L45" s="110"/>
      <c r="M45" s="111" t="s">
        <v>64</v>
      </c>
      <c r="N45" s="109"/>
      <c r="O45" s="102"/>
      <c r="P45" s="40"/>
    </row>
    <row r="46" ht="15.75" customHeight="1">
      <c r="A46" s="40"/>
      <c r="B46" s="103" t="s">
        <v>60</v>
      </c>
      <c r="C46" s="104" t="s">
        <v>61</v>
      </c>
      <c r="D46" s="105"/>
      <c r="E46" s="106"/>
      <c r="F46" s="104" t="s">
        <v>62</v>
      </c>
      <c r="G46" s="105"/>
      <c r="H46" s="107"/>
      <c r="I46" s="100"/>
      <c r="J46" s="117" t="str">
        <f t="array" ref="J46">GPA({K38:K43,M38:M43,O38:O43},1,2)</f>
        <v>Loading...</v>
      </c>
      <c r="K46" s="118"/>
      <c r="L46" s="110"/>
      <c r="M46" s="119" t="str">
        <f t="array" ref="M46">CREDITSSUM({K38:K43,M38:M43},1,2)</f>
        <v>Loading...</v>
      </c>
      <c r="N46" s="118"/>
      <c r="O46" s="120"/>
      <c r="P46" s="40"/>
    </row>
    <row r="47" ht="15.75" customHeight="1">
      <c r="A47" s="40"/>
      <c r="B47" s="112"/>
      <c r="C47" s="113" t="s">
        <v>65</v>
      </c>
      <c r="D47" s="114" t="s">
        <v>66</v>
      </c>
      <c r="E47" s="115" t="s">
        <v>67</v>
      </c>
      <c r="F47" s="113" t="s">
        <v>65</v>
      </c>
      <c r="G47" s="114" t="s">
        <v>66</v>
      </c>
      <c r="H47" s="116" t="s">
        <v>67</v>
      </c>
      <c r="I47" s="110"/>
      <c r="J47" s="1"/>
      <c r="K47" s="1"/>
      <c r="L47" s="1"/>
      <c r="M47" s="1"/>
      <c r="N47" s="1"/>
      <c r="O47" s="1"/>
      <c r="P47" s="40"/>
    </row>
    <row r="48" ht="15.75" customHeight="1">
      <c r="A48" s="40"/>
      <c r="B48" s="132" t="s">
        <v>68</v>
      </c>
      <c r="C48" s="122"/>
      <c r="D48" s="84"/>
      <c r="E48" s="123"/>
      <c r="F48" s="86"/>
      <c r="G48" s="84"/>
      <c r="H48" s="124"/>
      <c r="I48" s="110"/>
      <c r="J48" s="101" t="s">
        <v>59</v>
      </c>
      <c r="K48" s="102"/>
      <c r="L48" s="1"/>
      <c r="M48" s="1"/>
      <c r="N48" s="97"/>
      <c r="O48" s="97"/>
      <c r="P48" s="40"/>
    </row>
    <row r="49" ht="15.75" customHeight="1">
      <c r="A49" s="40"/>
      <c r="B49" s="132" t="s">
        <v>69</v>
      </c>
      <c r="C49" s="122"/>
      <c r="D49" s="84"/>
      <c r="E49" s="123"/>
      <c r="F49" s="86"/>
      <c r="G49" s="84"/>
      <c r="H49" s="124"/>
      <c r="I49" s="110"/>
      <c r="J49" s="108" t="s">
        <v>63</v>
      </c>
      <c r="K49" s="109"/>
      <c r="L49" s="110"/>
      <c r="M49" s="111" t="s">
        <v>64</v>
      </c>
      <c r="N49" s="109"/>
      <c r="O49" s="102"/>
      <c r="P49" s="40"/>
    </row>
    <row r="50" ht="15.75" customHeight="1">
      <c r="A50" s="40"/>
      <c r="B50" s="121" t="s">
        <v>70</v>
      </c>
      <c r="C50" s="122"/>
      <c r="D50" s="84"/>
      <c r="E50" s="123"/>
      <c r="F50" s="86"/>
      <c r="G50" s="84"/>
      <c r="H50" s="124"/>
      <c r="I50" s="110"/>
      <c r="J50" s="117" t="str">
        <f t="array" ref="J50">GPA({K8:K13,M8:M13,O8:O13;K18:K23,M18:M23,O18:O23;K28:K33,M28:M33,O28:O33;K38:K43,M38:M43,O38:O43},1,2)</f>
        <v>Loading...</v>
      </c>
      <c r="K50" s="118"/>
      <c r="L50" s="110"/>
      <c r="M50" s="119" t="str">
        <f t="array" ref="M50">CREDITSSUM({K8:K13,M8:M13;K18:K23,M18:M23;K28:K33,M28:M33;K38:K43,M38:M43},1,2)</f>
        <v>Loading...</v>
      </c>
      <c r="N50" s="118"/>
      <c r="O50" s="120"/>
      <c r="P50" s="40"/>
    </row>
    <row r="51" ht="15.75" customHeight="1">
      <c r="A51" s="40"/>
      <c r="B51" s="125" t="s">
        <v>71</v>
      </c>
      <c r="C51" s="126"/>
      <c r="D51" s="127"/>
      <c r="E51" s="128"/>
      <c r="F51" s="129"/>
      <c r="G51" s="127"/>
      <c r="H51" s="130"/>
      <c r="I51" s="97"/>
      <c r="J51" s="97"/>
      <c r="K51" s="97"/>
      <c r="L51" s="131"/>
      <c r="M51" s="97"/>
      <c r="N51" s="97"/>
      <c r="O51" s="97"/>
      <c r="P51" s="40"/>
    </row>
    <row r="52" ht="15.75" customHeight="1">
      <c r="A52" s="40"/>
      <c r="B52" s="96"/>
      <c r="C52" s="97"/>
      <c r="D52" s="97"/>
      <c r="E52" s="97"/>
      <c r="F52" s="97"/>
      <c r="G52" s="97"/>
      <c r="H52" s="97"/>
      <c r="I52" s="97"/>
      <c r="J52" s="97"/>
      <c r="K52" s="97"/>
      <c r="L52" s="131"/>
      <c r="M52" s="97"/>
      <c r="N52" s="97"/>
      <c r="O52" s="97"/>
      <c r="P52" s="40"/>
    </row>
    <row r="53" ht="15.75" customHeight="1">
      <c r="A53" s="40"/>
      <c r="B53" s="96"/>
      <c r="C53" s="97"/>
      <c r="D53" s="97"/>
      <c r="E53" s="97"/>
      <c r="F53" s="97"/>
      <c r="G53" s="97"/>
      <c r="H53" s="97"/>
      <c r="I53" s="97"/>
      <c r="J53" s="97"/>
      <c r="K53" s="97"/>
      <c r="L53" s="131"/>
      <c r="M53" s="97"/>
      <c r="N53" s="97"/>
      <c r="O53" s="97"/>
      <c r="P53" s="40"/>
    </row>
  </sheetData>
  <mergeCells count="74">
    <mergeCell ref="B27:J27"/>
    <mergeCell ref="B28:J28"/>
    <mergeCell ref="B29:J29"/>
    <mergeCell ref="B30:J30"/>
    <mergeCell ref="B31:J31"/>
    <mergeCell ref="B32:J32"/>
    <mergeCell ref="B33:J33"/>
    <mergeCell ref="J44:K44"/>
    <mergeCell ref="J45:K45"/>
    <mergeCell ref="M45:O45"/>
    <mergeCell ref="M46:O46"/>
    <mergeCell ref="B37:J37"/>
    <mergeCell ref="B38:J38"/>
    <mergeCell ref="B39:J39"/>
    <mergeCell ref="B40:J40"/>
    <mergeCell ref="B41:J41"/>
    <mergeCell ref="B42:J42"/>
    <mergeCell ref="B43:J43"/>
    <mergeCell ref="M49:O49"/>
    <mergeCell ref="M50:O50"/>
    <mergeCell ref="B46:B47"/>
    <mergeCell ref="C46:E46"/>
    <mergeCell ref="F46:H46"/>
    <mergeCell ref="J46:K46"/>
    <mergeCell ref="J48:K48"/>
    <mergeCell ref="J49:K49"/>
    <mergeCell ref="J50:K50"/>
    <mergeCell ref="C1:H1"/>
    <mergeCell ref="I1:O1"/>
    <mergeCell ref="C2:E2"/>
    <mergeCell ref="F2:H2"/>
    <mergeCell ref="I2:J2"/>
    <mergeCell ref="K2:O2"/>
    <mergeCell ref="C3:E3"/>
    <mergeCell ref="K3:O3"/>
    <mergeCell ref="F3:H3"/>
    <mergeCell ref="I3:J3"/>
    <mergeCell ref="C4:E4"/>
    <mergeCell ref="F4:H4"/>
    <mergeCell ref="I4:J4"/>
    <mergeCell ref="K4:O4"/>
    <mergeCell ref="C5:E6"/>
    <mergeCell ref="K5:O6"/>
    <mergeCell ref="F5:H6"/>
    <mergeCell ref="I5:J6"/>
    <mergeCell ref="B7:J7"/>
    <mergeCell ref="B8:J8"/>
    <mergeCell ref="B9:J9"/>
    <mergeCell ref="B10:J10"/>
    <mergeCell ref="B11:J11"/>
    <mergeCell ref="B12:J12"/>
    <mergeCell ref="B13:J13"/>
    <mergeCell ref="J14:K14"/>
    <mergeCell ref="J15:K15"/>
    <mergeCell ref="M15:O15"/>
    <mergeCell ref="J16:K16"/>
    <mergeCell ref="M16:O16"/>
    <mergeCell ref="J24:K24"/>
    <mergeCell ref="J25:K25"/>
    <mergeCell ref="M25:O25"/>
    <mergeCell ref="J26:K26"/>
    <mergeCell ref="M26:O26"/>
    <mergeCell ref="B17:J17"/>
    <mergeCell ref="B18:J18"/>
    <mergeCell ref="B19:J19"/>
    <mergeCell ref="B20:J20"/>
    <mergeCell ref="B21:J21"/>
    <mergeCell ref="B22:J22"/>
    <mergeCell ref="B23:J23"/>
    <mergeCell ref="J34:K34"/>
    <mergeCell ref="J35:K35"/>
    <mergeCell ref="M35:O35"/>
    <mergeCell ref="J36:K36"/>
    <mergeCell ref="M36:O36"/>
  </mergeCells>
  <dataValidations>
    <dataValidation type="custom" allowBlank="1" showDropDown="1" showInputMessage="1" showErrorMessage="1" prompt="Enter a number" sqref="K8:K12 O8:O13 K18:K22 O18:O23 K28:K32 O28:O33 K38:K42 O38:O43">
      <formula1>ISNUMBER(K8)</formula1>
    </dataValidation>
    <dataValidation type="list" allowBlank="1" showInputMessage="1" showErrorMessage="1" prompt="Click and enter a valid scale from the list of items. The valid scales are Letter, 0-100, 0-4, and None" sqref="B3">
      <formula1>"Letter,0-4,0-100,None"</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8.88"/>
    <col customWidth="1" min="3" max="8" width="6.38"/>
    <col customWidth="1" hidden="1" min="9" max="9" width="18.88"/>
    <col customWidth="1" min="10" max="10" width="18.88"/>
    <col customWidth="1" min="11" max="11" width="6.38"/>
    <col customWidth="1" hidden="1" min="12" max="12" width="18.88"/>
    <col customWidth="1" min="13" max="13" width="6.38"/>
    <col customWidth="1" hidden="1" min="14" max="14" width="6.38"/>
    <col customWidth="1" min="15" max="15" width="6.38"/>
  </cols>
  <sheetData>
    <row r="1" ht="31.5" customHeight="1">
      <c r="A1" s="58"/>
      <c r="B1" s="1"/>
      <c r="C1" s="71" t="s">
        <v>5</v>
      </c>
      <c r="I1" s="58" t="s">
        <v>6</v>
      </c>
      <c r="P1" s="72"/>
    </row>
    <row r="2" ht="15.75" customHeight="1">
      <c r="A2" s="73"/>
      <c r="B2" s="74" t="s">
        <v>50</v>
      </c>
      <c r="C2" s="59" t="s">
        <v>8</v>
      </c>
      <c r="F2" s="60" t="str">
        <f>'Getting Started'!$G$10</f>
        <v/>
      </c>
      <c r="I2" s="59" t="s">
        <v>9</v>
      </c>
      <c r="K2" s="60" t="str">
        <f>'Getting Started'!$I$10</f>
        <v/>
      </c>
      <c r="P2" s="40"/>
    </row>
    <row r="3" ht="15.75" customHeight="1">
      <c r="A3" s="73"/>
      <c r="B3" s="75" t="s">
        <v>51</v>
      </c>
      <c r="C3" s="59" t="s">
        <v>11</v>
      </c>
      <c r="F3" s="61" t="str">
        <f>'Getting Started'!$G$11</f>
        <v/>
      </c>
      <c r="I3" s="59" t="s">
        <v>12</v>
      </c>
      <c r="K3" s="60" t="str">
        <f>'Getting Started'!$I$11</f>
        <v/>
      </c>
      <c r="P3" s="40"/>
    </row>
    <row r="4" ht="31.5" customHeight="1">
      <c r="A4" s="73"/>
      <c r="B4" s="1"/>
      <c r="C4" s="59" t="s">
        <v>13</v>
      </c>
      <c r="F4" s="60" t="str">
        <f>'Getting Started'!$G$12</f>
        <v/>
      </c>
      <c r="I4" s="59" t="s">
        <v>14</v>
      </c>
      <c r="K4" s="60" t="str">
        <f>'Getting Started'!$I$12</f>
        <v/>
      </c>
      <c r="P4" s="40"/>
    </row>
    <row r="5" ht="15.75" customHeight="1">
      <c r="A5" s="73"/>
      <c r="B5" s="1"/>
      <c r="C5" s="59" t="s">
        <v>15</v>
      </c>
      <c r="F5" s="62" t="str">
        <f>'Getting Started'!$G$14</f>
        <v/>
      </c>
      <c r="I5" s="59" t="s">
        <v>16</v>
      </c>
      <c r="K5" s="60" t="str">
        <f>'Getting Started'!$I$14</f>
        <v/>
      </c>
      <c r="P5" s="40"/>
    </row>
    <row r="6" ht="15.75" customHeight="1">
      <c r="A6" s="73"/>
      <c r="B6" s="19" t="s">
        <v>84</v>
      </c>
      <c r="P6" s="40"/>
    </row>
    <row r="7" ht="31.5" customHeight="1">
      <c r="A7" s="40"/>
      <c r="B7" s="76" t="s">
        <v>53</v>
      </c>
      <c r="C7" s="8"/>
      <c r="D7" s="8"/>
      <c r="E7" s="8"/>
      <c r="F7" s="8"/>
      <c r="G7" s="8"/>
      <c r="H7" s="8"/>
      <c r="I7" s="8"/>
      <c r="J7" s="77"/>
      <c r="K7" s="78" t="s">
        <v>54</v>
      </c>
      <c r="L7" s="79" t="s">
        <v>55</v>
      </c>
      <c r="M7" s="80" t="s">
        <v>56</v>
      </c>
      <c r="N7" s="81"/>
      <c r="O7" s="82" t="s">
        <v>57</v>
      </c>
      <c r="P7" s="1"/>
    </row>
    <row r="8" ht="15.75" customHeight="1">
      <c r="A8" s="40"/>
      <c r="B8" s="83"/>
      <c r="J8" s="47"/>
      <c r="K8" s="84"/>
      <c r="L8" s="85"/>
      <c r="M8" s="86"/>
      <c r="N8" s="87"/>
      <c r="O8" s="88"/>
      <c r="P8" s="1"/>
    </row>
    <row r="9" ht="15.75" customHeight="1">
      <c r="A9" s="40"/>
      <c r="B9" s="141"/>
      <c r="J9" s="47"/>
      <c r="K9" s="84"/>
      <c r="L9" s="85" t="b">
        <v>0</v>
      </c>
      <c r="M9" s="86"/>
      <c r="N9" s="142"/>
      <c r="O9" s="88"/>
      <c r="P9" s="40"/>
    </row>
    <row r="10" ht="15.75" customHeight="1">
      <c r="A10" s="40"/>
      <c r="B10" s="141"/>
      <c r="J10" s="47"/>
      <c r="K10" s="84"/>
      <c r="L10" s="143" t="b">
        <v>0</v>
      </c>
      <c r="M10" s="86"/>
      <c r="N10" s="142"/>
      <c r="O10" s="144"/>
      <c r="P10" s="40"/>
    </row>
    <row r="11" ht="15.75" customHeight="1">
      <c r="A11" s="40"/>
      <c r="B11" s="141"/>
      <c r="J11" s="47"/>
      <c r="K11" s="145"/>
      <c r="L11" s="85" t="b">
        <v>0</v>
      </c>
      <c r="M11" s="146"/>
      <c r="N11" s="142"/>
      <c r="O11" s="144"/>
      <c r="P11" s="40"/>
    </row>
    <row r="12" ht="15.75" customHeight="1">
      <c r="A12" s="40"/>
      <c r="B12" s="141"/>
      <c r="J12" s="47"/>
      <c r="K12" s="145"/>
      <c r="L12" s="85" t="b">
        <v>0</v>
      </c>
      <c r="M12" s="146"/>
      <c r="N12" s="142"/>
      <c r="O12" s="144"/>
      <c r="P12" s="40"/>
    </row>
    <row r="13" ht="15.75" customHeight="1">
      <c r="A13" s="40"/>
      <c r="B13" s="89"/>
      <c r="C13" s="16"/>
      <c r="D13" s="16"/>
      <c r="E13" s="16"/>
      <c r="F13" s="16"/>
      <c r="G13" s="16"/>
      <c r="H13" s="16"/>
      <c r="I13" s="16"/>
      <c r="J13" s="90"/>
      <c r="K13" s="91"/>
      <c r="L13" s="92" t="b">
        <v>0</v>
      </c>
      <c r="M13" s="93"/>
      <c r="N13" s="94"/>
      <c r="O13" s="95"/>
      <c r="P13" s="40"/>
    </row>
    <row r="14" ht="15.75" customHeight="1">
      <c r="A14" s="40"/>
      <c r="B14" s="96"/>
      <c r="C14" s="1"/>
      <c r="D14" s="1"/>
      <c r="E14" s="1"/>
      <c r="F14" s="1"/>
      <c r="G14" s="1"/>
      <c r="H14" s="1"/>
      <c r="I14" s="1"/>
      <c r="J14" s="101" t="s">
        <v>85</v>
      </c>
      <c r="K14" s="102"/>
      <c r="L14" s="1"/>
      <c r="M14" s="1"/>
      <c r="N14" s="97"/>
      <c r="O14" s="97"/>
      <c r="P14" s="40"/>
    </row>
    <row r="15" ht="15.75" customHeight="1">
      <c r="A15" s="40"/>
      <c r="B15" s="96"/>
      <c r="C15" s="100"/>
      <c r="D15" s="100"/>
      <c r="E15" s="100"/>
      <c r="F15" s="100"/>
      <c r="G15" s="100"/>
      <c r="H15" s="100"/>
      <c r="I15" s="100"/>
      <c r="J15" s="108" t="s">
        <v>63</v>
      </c>
      <c r="K15" s="109"/>
      <c r="L15" s="110"/>
      <c r="M15" s="111" t="s">
        <v>64</v>
      </c>
      <c r="N15" s="109"/>
      <c r="O15" s="102"/>
      <c r="P15" s="40"/>
    </row>
    <row r="16" ht="15.75" customHeight="1">
      <c r="A16" s="40"/>
      <c r="B16" s="19" t="s">
        <v>86</v>
      </c>
      <c r="C16" s="100"/>
      <c r="D16" s="100"/>
      <c r="E16" s="100"/>
      <c r="F16" s="100"/>
      <c r="G16" s="100"/>
      <c r="H16" s="100"/>
      <c r="I16" s="100"/>
      <c r="J16" s="117" t="str">
        <f t="array" ref="J16">GPA({K8:K13,M8:M13,O8:O13},1,2)</f>
        <v>Loading...</v>
      </c>
      <c r="K16" s="118"/>
      <c r="L16" s="110"/>
      <c r="M16" s="119" t="str">
        <f t="array" ref="M16">CREDITSSUM({K8:K13,M8:M13},1,2)</f>
        <v>Loading...</v>
      </c>
      <c r="N16" s="118"/>
      <c r="O16" s="120"/>
      <c r="P16" s="40"/>
    </row>
    <row r="17" ht="31.5" customHeight="1">
      <c r="A17" s="40"/>
      <c r="B17" s="76" t="s">
        <v>53</v>
      </c>
      <c r="C17" s="8"/>
      <c r="D17" s="8"/>
      <c r="E17" s="8"/>
      <c r="F17" s="8"/>
      <c r="G17" s="8"/>
      <c r="H17" s="8"/>
      <c r="I17" s="8"/>
      <c r="J17" s="77"/>
      <c r="K17" s="78" t="s">
        <v>54</v>
      </c>
      <c r="L17" s="79" t="s">
        <v>55</v>
      </c>
      <c r="M17" s="80" t="s">
        <v>56</v>
      </c>
      <c r="N17" s="81"/>
      <c r="O17" s="82" t="s">
        <v>57</v>
      </c>
      <c r="P17" s="1"/>
    </row>
    <row r="18" ht="15.75" customHeight="1">
      <c r="A18" s="40"/>
      <c r="B18" s="83"/>
      <c r="J18" s="47"/>
      <c r="K18" s="84"/>
      <c r="L18" s="85"/>
      <c r="M18" s="86"/>
      <c r="N18" s="87"/>
      <c r="O18" s="88"/>
      <c r="P18" s="1"/>
    </row>
    <row r="19" ht="15.75" customHeight="1">
      <c r="A19" s="40"/>
      <c r="B19" s="141"/>
      <c r="J19" s="47"/>
      <c r="K19" s="84"/>
      <c r="L19" s="85" t="b">
        <v>0</v>
      </c>
      <c r="M19" s="86"/>
      <c r="N19" s="142"/>
      <c r="O19" s="88"/>
      <c r="P19" s="40"/>
    </row>
    <row r="20" ht="15.75" customHeight="1">
      <c r="A20" s="40"/>
      <c r="B20" s="141"/>
      <c r="J20" s="47"/>
      <c r="K20" s="84"/>
      <c r="L20" s="143" t="b">
        <v>0</v>
      </c>
      <c r="M20" s="86"/>
      <c r="N20" s="142"/>
      <c r="O20" s="144"/>
      <c r="P20" s="40"/>
    </row>
    <row r="21" ht="15.75" customHeight="1">
      <c r="A21" s="40"/>
      <c r="B21" s="141"/>
      <c r="J21" s="47"/>
      <c r="K21" s="145"/>
      <c r="L21" s="143" t="b">
        <v>0</v>
      </c>
      <c r="M21" s="146"/>
      <c r="N21" s="142"/>
      <c r="O21" s="144"/>
      <c r="P21" s="40"/>
    </row>
    <row r="22" ht="15.75" customHeight="1">
      <c r="A22" s="40"/>
      <c r="B22" s="141"/>
      <c r="J22" s="47"/>
      <c r="K22" s="145"/>
      <c r="L22" s="85" t="b">
        <v>0</v>
      </c>
      <c r="M22" s="146"/>
      <c r="N22" s="142"/>
      <c r="O22" s="144"/>
      <c r="P22" s="40"/>
    </row>
    <row r="23" ht="15.75" customHeight="1">
      <c r="A23" s="40"/>
      <c r="B23" s="89"/>
      <c r="C23" s="16"/>
      <c r="D23" s="16"/>
      <c r="E23" s="16"/>
      <c r="F23" s="16"/>
      <c r="G23" s="16"/>
      <c r="H23" s="16"/>
      <c r="I23" s="16"/>
      <c r="J23" s="90"/>
      <c r="K23" s="91"/>
      <c r="L23" s="92" t="b">
        <v>0</v>
      </c>
      <c r="M23" s="93"/>
      <c r="N23" s="94"/>
      <c r="O23" s="95"/>
      <c r="P23" s="40"/>
    </row>
    <row r="24" ht="15.75" customHeight="1">
      <c r="A24" s="40"/>
      <c r="B24" s="96"/>
      <c r="C24" s="1"/>
      <c r="D24" s="1"/>
      <c r="E24" s="1"/>
      <c r="F24" s="1"/>
      <c r="G24" s="1"/>
      <c r="H24" s="1"/>
      <c r="I24" s="1"/>
      <c r="J24" s="101" t="s">
        <v>87</v>
      </c>
      <c r="K24" s="102"/>
      <c r="L24" s="1"/>
      <c r="M24" s="1"/>
      <c r="N24" s="97"/>
      <c r="O24" s="97"/>
      <c r="P24" s="40"/>
    </row>
    <row r="25" ht="15.75" customHeight="1">
      <c r="A25" s="40"/>
      <c r="B25" s="96"/>
      <c r="C25" s="100"/>
      <c r="D25" s="100"/>
      <c r="E25" s="100"/>
      <c r="F25" s="100"/>
      <c r="G25" s="100"/>
      <c r="H25" s="100"/>
      <c r="I25" s="100"/>
      <c r="J25" s="108" t="s">
        <v>63</v>
      </c>
      <c r="K25" s="109"/>
      <c r="L25" s="110"/>
      <c r="M25" s="111" t="s">
        <v>64</v>
      </c>
      <c r="N25" s="109"/>
      <c r="O25" s="102"/>
      <c r="P25" s="40"/>
    </row>
    <row r="26" ht="15.75" customHeight="1">
      <c r="A26" s="40"/>
      <c r="B26" s="19" t="s">
        <v>88</v>
      </c>
      <c r="C26" s="100"/>
      <c r="D26" s="100"/>
      <c r="E26" s="100"/>
      <c r="F26" s="100"/>
      <c r="G26" s="100"/>
      <c r="H26" s="100"/>
      <c r="I26" s="100"/>
      <c r="J26" s="117" t="str">
        <f t="array" ref="J26">GPA({K18:K23,M18:M23,O18:O23},1,2)</f>
        <v>Loading...</v>
      </c>
      <c r="K26" s="118"/>
      <c r="L26" s="110"/>
      <c r="M26" s="119" t="str">
        <f t="array" ref="M26">CREDITSSUM({K18:K23,M18:M23},1,2)</f>
        <v>Loading...</v>
      </c>
      <c r="N26" s="118"/>
      <c r="O26" s="120"/>
      <c r="P26" s="40"/>
    </row>
    <row r="27" ht="31.5" customHeight="1">
      <c r="A27" s="40"/>
      <c r="B27" s="76" t="s">
        <v>53</v>
      </c>
      <c r="C27" s="8"/>
      <c r="D27" s="8"/>
      <c r="E27" s="8"/>
      <c r="F27" s="8"/>
      <c r="G27" s="8"/>
      <c r="H27" s="8"/>
      <c r="I27" s="8"/>
      <c r="J27" s="77"/>
      <c r="K27" s="78" t="s">
        <v>54</v>
      </c>
      <c r="L27" s="79" t="s">
        <v>55</v>
      </c>
      <c r="M27" s="80" t="s">
        <v>56</v>
      </c>
      <c r="N27" s="81"/>
      <c r="O27" s="82" t="s">
        <v>57</v>
      </c>
      <c r="P27" s="1"/>
    </row>
    <row r="28" ht="15.75" customHeight="1">
      <c r="A28" s="40"/>
      <c r="B28" s="83"/>
      <c r="J28" s="47"/>
      <c r="K28" s="84"/>
      <c r="L28" s="85"/>
      <c r="M28" s="86"/>
      <c r="N28" s="87"/>
      <c r="O28" s="88"/>
      <c r="P28" s="1"/>
    </row>
    <row r="29" ht="15.75" customHeight="1">
      <c r="A29" s="40"/>
      <c r="B29" s="141"/>
      <c r="J29" s="47"/>
      <c r="K29" s="84"/>
      <c r="L29" s="85" t="b">
        <v>0</v>
      </c>
      <c r="M29" s="86"/>
      <c r="N29" s="142"/>
      <c r="O29" s="88"/>
      <c r="P29" s="40"/>
    </row>
    <row r="30" ht="15.75" customHeight="1">
      <c r="A30" s="40"/>
      <c r="B30" s="141"/>
      <c r="J30" s="47"/>
      <c r="K30" s="84"/>
      <c r="L30" s="143" t="b">
        <v>0</v>
      </c>
      <c r="M30" s="86"/>
      <c r="N30" s="142"/>
      <c r="O30" s="144"/>
      <c r="P30" s="40"/>
    </row>
    <row r="31" ht="15.75" customHeight="1">
      <c r="A31" s="40"/>
      <c r="B31" s="141"/>
      <c r="J31" s="47"/>
      <c r="K31" s="145"/>
      <c r="L31" s="143" t="b">
        <v>0</v>
      </c>
      <c r="M31" s="146"/>
      <c r="N31" s="142"/>
      <c r="O31" s="144"/>
      <c r="P31" s="40"/>
    </row>
    <row r="32" ht="15.75" customHeight="1">
      <c r="A32" s="40"/>
      <c r="B32" s="141"/>
      <c r="J32" s="47"/>
      <c r="K32" s="145"/>
      <c r="L32" s="85" t="b">
        <v>0</v>
      </c>
      <c r="M32" s="146"/>
      <c r="N32" s="142"/>
      <c r="O32" s="144"/>
      <c r="P32" s="40"/>
    </row>
    <row r="33" ht="15.75" customHeight="1">
      <c r="A33" s="40"/>
      <c r="B33" s="89"/>
      <c r="C33" s="16"/>
      <c r="D33" s="16"/>
      <c r="E33" s="16"/>
      <c r="F33" s="16"/>
      <c r="G33" s="16"/>
      <c r="H33" s="16"/>
      <c r="I33" s="16"/>
      <c r="J33" s="90"/>
      <c r="K33" s="91"/>
      <c r="L33" s="92" t="b">
        <v>0</v>
      </c>
      <c r="M33" s="93"/>
      <c r="N33" s="94"/>
      <c r="O33" s="95"/>
      <c r="P33" s="40"/>
    </row>
    <row r="34" ht="15.75" customHeight="1">
      <c r="A34" s="40"/>
      <c r="B34" s="96"/>
      <c r="C34" s="1"/>
      <c r="D34" s="1"/>
      <c r="E34" s="1"/>
      <c r="F34" s="1"/>
      <c r="G34" s="1"/>
      <c r="H34" s="1"/>
      <c r="I34" s="1"/>
      <c r="J34" s="101" t="s">
        <v>89</v>
      </c>
      <c r="K34" s="102"/>
      <c r="L34" s="1"/>
      <c r="M34" s="1"/>
      <c r="N34" s="97"/>
      <c r="O34" s="97"/>
      <c r="P34" s="40"/>
    </row>
    <row r="35" ht="15.75" customHeight="1">
      <c r="A35" s="40"/>
      <c r="B35" s="96"/>
      <c r="C35" s="100"/>
      <c r="D35" s="100"/>
      <c r="E35" s="100"/>
      <c r="F35" s="100"/>
      <c r="G35" s="100"/>
      <c r="H35" s="100"/>
      <c r="I35" s="100"/>
      <c r="J35" s="108" t="s">
        <v>63</v>
      </c>
      <c r="K35" s="109"/>
      <c r="L35" s="110"/>
      <c r="M35" s="111" t="s">
        <v>64</v>
      </c>
      <c r="N35" s="109"/>
      <c r="O35" s="102"/>
      <c r="P35" s="40"/>
    </row>
    <row r="36" ht="15.75" customHeight="1">
      <c r="A36" s="40"/>
      <c r="B36" s="19" t="s">
        <v>88</v>
      </c>
      <c r="C36" s="100"/>
      <c r="D36" s="100"/>
      <c r="E36" s="100"/>
      <c r="F36" s="100"/>
      <c r="G36" s="100"/>
      <c r="H36" s="100"/>
      <c r="I36" s="100"/>
      <c r="J36" s="117" t="str">
        <f t="array" ref="J36">GPA({K28:K33,M28:M33,O28:O33},1,2)</f>
        <v>Loading...</v>
      </c>
      <c r="K36" s="118"/>
      <c r="L36" s="110"/>
      <c r="M36" s="119" t="str">
        <f t="array" ref="M36">CREDITSSUM({K28:K33,M28:M33},1,2)</f>
        <v>Loading...</v>
      </c>
      <c r="N36" s="118"/>
      <c r="O36" s="120"/>
      <c r="P36" s="40"/>
    </row>
    <row r="37" ht="31.5" customHeight="1">
      <c r="A37" s="40"/>
      <c r="B37" s="76" t="s">
        <v>53</v>
      </c>
      <c r="C37" s="8"/>
      <c r="D37" s="8"/>
      <c r="E37" s="8"/>
      <c r="F37" s="8"/>
      <c r="G37" s="8"/>
      <c r="H37" s="8"/>
      <c r="I37" s="8"/>
      <c r="J37" s="77"/>
      <c r="K37" s="78" t="s">
        <v>54</v>
      </c>
      <c r="L37" s="79" t="s">
        <v>55</v>
      </c>
      <c r="M37" s="80" t="s">
        <v>56</v>
      </c>
      <c r="N37" s="81"/>
      <c r="O37" s="82" t="s">
        <v>57</v>
      </c>
      <c r="P37" s="1"/>
    </row>
    <row r="38" ht="15.75" customHeight="1">
      <c r="A38" s="40"/>
      <c r="B38" s="83"/>
      <c r="J38" s="47"/>
      <c r="K38" s="84"/>
      <c r="L38" s="85"/>
      <c r="M38" s="86"/>
      <c r="N38" s="87"/>
      <c r="O38" s="88"/>
      <c r="P38" s="1"/>
    </row>
    <row r="39" ht="15.75" customHeight="1">
      <c r="A39" s="40"/>
      <c r="B39" s="141"/>
      <c r="J39" s="47"/>
      <c r="K39" s="84"/>
      <c r="L39" s="85" t="b">
        <v>0</v>
      </c>
      <c r="M39" s="86"/>
      <c r="N39" s="142"/>
      <c r="O39" s="88"/>
      <c r="P39" s="40"/>
    </row>
    <row r="40" ht="15.75" customHeight="1">
      <c r="A40" s="40"/>
      <c r="B40" s="141"/>
      <c r="J40" s="47"/>
      <c r="K40" s="84"/>
      <c r="L40" s="143" t="b">
        <v>0</v>
      </c>
      <c r="M40" s="86"/>
      <c r="N40" s="142"/>
      <c r="O40" s="144"/>
      <c r="P40" s="40"/>
    </row>
    <row r="41" ht="15.75" customHeight="1">
      <c r="A41" s="40"/>
      <c r="B41" s="141"/>
      <c r="J41" s="47"/>
      <c r="K41" s="145"/>
      <c r="L41" s="143" t="b">
        <v>0</v>
      </c>
      <c r="M41" s="146"/>
      <c r="N41" s="142"/>
      <c r="O41" s="144"/>
      <c r="P41" s="40"/>
    </row>
    <row r="42" ht="15.75" customHeight="1">
      <c r="A42" s="40"/>
      <c r="B42" s="141"/>
      <c r="J42" s="47"/>
      <c r="K42" s="145"/>
      <c r="L42" s="85" t="b">
        <v>0</v>
      </c>
      <c r="M42" s="146"/>
      <c r="N42" s="142"/>
      <c r="O42" s="144"/>
      <c r="P42" s="40"/>
    </row>
    <row r="43" ht="15.75" customHeight="1">
      <c r="A43" s="40"/>
      <c r="B43" s="89"/>
      <c r="C43" s="16"/>
      <c r="D43" s="16"/>
      <c r="E43" s="16"/>
      <c r="F43" s="16"/>
      <c r="G43" s="16"/>
      <c r="H43" s="16"/>
      <c r="I43" s="16"/>
      <c r="J43" s="90"/>
      <c r="K43" s="91"/>
      <c r="L43" s="92" t="b">
        <v>0</v>
      </c>
      <c r="M43" s="93"/>
      <c r="N43" s="94"/>
      <c r="O43" s="95"/>
      <c r="P43" s="40"/>
    </row>
    <row r="44" ht="15.75" customHeight="1">
      <c r="A44" s="40"/>
      <c r="B44" s="96"/>
      <c r="C44" s="1"/>
      <c r="D44" s="1"/>
      <c r="E44" s="1"/>
      <c r="F44" s="1"/>
      <c r="G44" s="1"/>
      <c r="H44" s="1"/>
      <c r="I44" s="1"/>
      <c r="J44" s="101" t="s">
        <v>89</v>
      </c>
      <c r="K44" s="102"/>
      <c r="L44" s="1"/>
      <c r="M44" s="1"/>
      <c r="N44" s="97"/>
      <c r="O44" s="97"/>
      <c r="P44" s="40"/>
    </row>
    <row r="45" ht="15.75" customHeight="1">
      <c r="A45" s="40"/>
      <c r="B45" s="98" t="s">
        <v>58</v>
      </c>
      <c r="C45" s="99"/>
      <c r="D45" s="99"/>
      <c r="E45" s="99"/>
      <c r="F45" s="99"/>
      <c r="G45" s="99"/>
      <c r="H45" s="99"/>
      <c r="I45" s="100"/>
      <c r="J45" s="108" t="s">
        <v>63</v>
      </c>
      <c r="K45" s="109"/>
      <c r="L45" s="110"/>
      <c r="M45" s="111" t="s">
        <v>64</v>
      </c>
      <c r="N45" s="109"/>
      <c r="O45" s="102"/>
      <c r="P45" s="40"/>
    </row>
    <row r="46" ht="15.75" customHeight="1">
      <c r="A46" s="40"/>
      <c r="B46" s="103" t="s">
        <v>60</v>
      </c>
      <c r="C46" s="104" t="s">
        <v>61</v>
      </c>
      <c r="D46" s="105"/>
      <c r="E46" s="106"/>
      <c r="F46" s="104" t="s">
        <v>62</v>
      </c>
      <c r="G46" s="105"/>
      <c r="H46" s="107"/>
      <c r="I46" s="100"/>
      <c r="J46" s="117" t="str">
        <f t="array" ref="J46">GPA({K38:K43,M38:M43,O38:O43},1,2)</f>
        <v>Loading...</v>
      </c>
      <c r="K46" s="118"/>
      <c r="L46" s="110"/>
      <c r="M46" s="119" t="str">
        <f t="array" ref="M46">CREDITSSUM({K38:K43,M38:M43},1,2)</f>
        <v>Loading...</v>
      </c>
      <c r="N46" s="118"/>
      <c r="O46" s="120"/>
      <c r="P46" s="40"/>
    </row>
    <row r="47" ht="15.75" customHeight="1">
      <c r="A47" s="40"/>
      <c r="B47" s="112"/>
      <c r="C47" s="113" t="s">
        <v>65</v>
      </c>
      <c r="D47" s="114" t="s">
        <v>66</v>
      </c>
      <c r="E47" s="115" t="s">
        <v>67</v>
      </c>
      <c r="F47" s="113" t="s">
        <v>65</v>
      </c>
      <c r="G47" s="114" t="s">
        <v>66</v>
      </c>
      <c r="H47" s="116" t="s">
        <v>67</v>
      </c>
      <c r="I47" s="110"/>
      <c r="J47" s="1"/>
      <c r="K47" s="1"/>
      <c r="L47" s="1"/>
      <c r="M47" s="1"/>
      <c r="N47" s="1"/>
      <c r="O47" s="1"/>
      <c r="P47" s="40"/>
    </row>
    <row r="48" ht="15.75" customHeight="1">
      <c r="A48" s="40"/>
      <c r="B48" s="132" t="s">
        <v>68</v>
      </c>
      <c r="C48" s="122"/>
      <c r="D48" s="84"/>
      <c r="E48" s="123"/>
      <c r="F48" s="86"/>
      <c r="G48" s="84"/>
      <c r="H48" s="124"/>
      <c r="I48" s="110"/>
      <c r="J48" s="101" t="s">
        <v>59</v>
      </c>
      <c r="K48" s="102"/>
      <c r="L48" s="1"/>
      <c r="M48" s="1"/>
      <c r="N48" s="97"/>
      <c r="O48" s="97"/>
      <c r="P48" s="40"/>
    </row>
    <row r="49" ht="15.75" customHeight="1">
      <c r="A49" s="40"/>
      <c r="B49" s="132" t="s">
        <v>69</v>
      </c>
      <c r="C49" s="122"/>
      <c r="D49" s="84"/>
      <c r="E49" s="123"/>
      <c r="F49" s="86"/>
      <c r="G49" s="84"/>
      <c r="H49" s="124"/>
      <c r="I49" s="110"/>
      <c r="J49" s="108" t="s">
        <v>63</v>
      </c>
      <c r="K49" s="109"/>
      <c r="L49" s="110"/>
      <c r="M49" s="111" t="s">
        <v>64</v>
      </c>
      <c r="N49" s="109"/>
      <c r="O49" s="102"/>
      <c r="P49" s="40"/>
    </row>
    <row r="50" ht="15.75" customHeight="1">
      <c r="A50" s="40"/>
      <c r="B50" s="121" t="s">
        <v>70</v>
      </c>
      <c r="C50" s="122"/>
      <c r="D50" s="84"/>
      <c r="E50" s="123"/>
      <c r="F50" s="86"/>
      <c r="G50" s="84"/>
      <c r="H50" s="124"/>
      <c r="I50" s="110"/>
      <c r="J50" s="117" t="str">
        <f t="array" ref="J50">GPA({K8:K13,M8:M13,O8:O13;K18:K23,M18:M23,O18:O23;K28:K33,M28:M33,O28:O33;K38:K43,M38:M43,O38:O43},1,2)</f>
        <v>Loading...</v>
      </c>
      <c r="K50" s="118"/>
      <c r="L50" s="110"/>
      <c r="M50" s="119" t="str">
        <f t="array" ref="M50">CREDITSSUM({K8:K13,M8:M13;K18:K23,M18:M23;K28:K33,M28:M33;K38:K43,M38:M43},1,2)</f>
        <v>Loading...</v>
      </c>
      <c r="N50" s="118"/>
      <c r="O50" s="120"/>
      <c r="P50" s="40"/>
    </row>
    <row r="51" ht="15.75" customHeight="1">
      <c r="A51" s="40"/>
      <c r="B51" s="125" t="s">
        <v>71</v>
      </c>
      <c r="C51" s="126"/>
      <c r="D51" s="127"/>
      <c r="E51" s="128"/>
      <c r="F51" s="129"/>
      <c r="G51" s="127"/>
      <c r="H51" s="130"/>
      <c r="I51" s="97"/>
      <c r="J51" s="97"/>
      <c r="K51" s="97"/>
      <c r="L51" s="131"/>
      <c r="M51" s="97"/>
      <c r="N51" s="97"/>
      <c r="O51" s="97"/>
      <c r="P51" s="40"/>
    </row>
    <row r="52" ht="15.75" customHeight="1">
      <c r="A52" s="40"/>
      <c r="B52" s="96"/>
      <c r="C52" s="97"/>
      <c r="D52" s="97"/>
      <c r="E52" s="97"/>
      <c r="F52" s="97"/>
      <c r="G52" s="97"/>
      <c r="H52" s="97"/>
      <c r="I52" s="97"/>
      <c r="J52" s="97"/>
      <c r="K52" s="97"/>
      <c r="L52" s="131"/>
      <c r="M52" s="97"/>
      <c r="N52" s="97"/>
      <c r="O52" s="97"/>
      <c r="P52" s="40"/>
    </row>
    <row r="53" ht="15.75" customHeight="1">
      <c r="A53" s="40"/>
      <c r="B53" s="96"/>
      <c r="C53" s="97"/>
      <c r="D53" s="97"/>
      <c r="E53" s="97"/>
      <c r="F53" s="97"/>
      <c r="G53" s="97"/>
      <c r="H53" s="97"/>
      <c r="I53" s="97"/>
      <c r="J53" s="97"/>
      <c r="K53" s="97"/>
      <c r="L53" s="131"/>
      <c r="M53" s="97"/>
      <c r="N53" s="97"/>
      <c r="O53" s="97"/>
      <c r="P53" s="40"/>
    </row>
  </sheetData>
  <mergeCells count="74">
    <mergeCell ref="B27:J27"/>
    <mergeCell ref="B28:J28"/>
    <mergeCell ref="B29:J29"/>
    <mergeCell ref="B30:J30"/>
    <mergeCell ref="B31:J31"/>
    <mergeCell ref="B32:J32"/>
    <mergeCell ref="B33:J33"/>
    <mergeCell ref="J44:K44"/>
    <mergeCell ref="J45:K45"/>
    <mergeCell ref="M45:O45"/>
    <mergeCell ref="M46:O46"/>
    <mergeCell ref="B37:J37"/>
    <mergeCell ref="B38:J38"/>
    <mergeCell ref="B39:J39"/>
    <mergeCell ref="B40:J40"/>
    <mergeCell ref="B41:J41"/>
    <mergeCell ref="B42:J42"/>
    <mergeCell ref="B43:J43"/>
    <mergeCell ref="M49:O49"/>
    <mergeCell ref="M50:O50"/>
    <mergeCell ref="B46:B47"/>
    <mergeCell ref="C46:E46"/>
    <mergeCell ref="F46:H46"/>
    <mergeCell ref="J46:K46"/>
    <mergeCell ref="J48:K48"/>
    <mergeCell ref="J49:K49"/>
    <mergeCell ref="J50:K50"/>
    <mergeCell ref="C1:H1"/>
    <mergeCell ref="I1:O1"/>
    <mergeCell ref="C2:E2"/>
    <mergeCell ref="F2:H2"/>
    <mergeCell ref="I2:J2"/>
    <mergeCell ref="K2:O2"/>
    <mergeCell ref="C3:E3"/>
    <mergeCell ref="K3:O3"/>
    <mergeCell ref="F3:H3"/>
    <mergeCell ref="I3:J3"/>
    <mergeCell ref="C4:E4"/>
    <mergeCell ref="F4:H4"/>
    <mergeCell ref="I4:J4"/>
    <mergeCell ref="K4:O4"/>
    <mergeCell ref="C5:E6"/>
    <mergeCell ref="K5:O6"/>
    <mergeCell ref="F5:H6"/>
    <mergeCell ref="I5:J6"/>
    <mergeCell ref="B7:J7"/>
    <mergeCell ref="B8:J8"/>
    <mergeCell ref="B9:J9"/>
    <mergeCell ref="B10:J10"/>
    <mergeCell ref="B11:J11"/>
    <mergeCell ref="B12:J12"/>
    <mergeCell ref="B13:J13"/>
    <mergeCell ref="J14:K14"/>
    <mergeCell ref="J15:K15"/>
    <mergeCell ref="M15:O15"/>
    <mergeCell ref="J16:K16"/>
    <mergeCell ref="M16:O16"/>
    <mergeCell ref="J24:K24"/>
    <mergeCell ref="J25:K25"/>
    <mergeCell ref="M25:O25"/>
    <mergeCell ref="J26:K26"/>
    <mergeCell ref="M26:O26"/>
    <mergeCell ref="B17:J17"/>
    <mergeCell ref="B18:J18"/>
    <mergeCell ref="B19:J19"/>
    <mergeCell ref="B20:J20"/>
    <mergeCell ref="B21:J21"/>
    <mergeCell ref="B22:J22"/>
    <mergeCell ref="B23:J23"/>
    <mergeCell ref="J34:K34"/>
    <mergeCell ref="J35:K35"/>
    <mergeCell ref="M35:O35"/>
    <mergeCell ref="J36:K36"/>
    <mergeCell ref="M36:O36"/>
  </mergeCells>
  <dataValidations>
    <dataValidation type="custom" allowBlank="1" showDropDown="1" showInputMessage="1" showErrorMessage="1" prompt="Enter a number" sqref="K8:K12 O8:O13 K18:K22 O18:O23 K28:K32 O28:O33 K38:K42 O38:O43">
      <formula1>ISNUMBER(K8)</formula1>
    </dataValidation>
    <dataValidation type="list" allowBlank="1" showInputMessage="1" showErrorMessage="1" prompt="Click and enter a valid scale from the list of items. The valid scales are Letter, 0-100, 0-4, and None" sqref="B3">
      <formula1>"Letter,0-4,0-100,None"</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8.88"/>
    <col customWidth="1" min="3" max="8" width="6.38"/>
    <col customWidth="1" hidden="1" min="9" max="9" width="18.88"/>
    <col customWidth="1" min="10" max="10" width="18.88"/>
    <col customWidth="1" min="11" max="11" width="6.38"/>
    <col customWidth="1" hidden="1" min="12" max="12" width="18.88"/>
    <col customWidth="1" min="13" max="13" width="6.38"/>
    <col customWidth="1" hidden="1" min="14" max="14" width="6.38"/>
    <col customWidth="1" min="15" max="15" width="6.38"/>
  </cols>
  <sheetData>
    <row r="1" ht="31.5" customHeight="1">
      <c r="A1" s="58"/>
      <c r="B1" s="1"/>
      <c r="C1" s="71" t="s">
        <v>5</v>
      </c>
      <c r="I1" s="58" t="s">
        <v>6</v>
      </c>
      <c r="P1" s="72"/>
    </row>
    <row r="2" ht="15.75" customHeight="1">
      <c r="A2" s="73"/>
      <c r="B2" s="74" t="s">
        <v>50</v>
      </c>
      <c r="C2" s="59" t="s">
        <v>8</v>
      </c>
      <c r="F2" s="60" t="str">
        <f>'Getting Started'!$G$10</f>
        <v/>
      </c>
      <c r="I2" s="59" t="s">
        <v>9</v>
      </c>
      <c r="K2" s="60" t="str">
        <f>'Getting Started'!$I$10</f>
        <v/>
      </c>
      <c r="P2" s="40"/>
    </row>
    <row r="3" ht="15.75" customHeight="1">
      <c r="A3" s="73"/>
      <c r="B3" s="75" t="s">
        <v>51</v>
      </c>
      <c r="C3" s="59" t="s">
        <v>11</v>
      </c>
      <c r="F3" s="61" t="str">
        <f>'Getting Started'!$G$11</f>
        <v/>
      </c>
      <c r="I3" s="59" t="s">
        <v>12</v>
      </c>
      <c r="K3" s="60" t="str">
        <f>'Getting Started'!$I$11</f>
        <v/>
      </c>
      <c r="P3" s="40"/>
    </row>
    <row r="4" ht="31.5" customHeight="1">
      <c r="A4" s="73"/>
      <c r="B4" s="1"/>
      <c r="C4" s="59" t="s">
        <v>13</v>
      </c>
      <c r="F4" s="60" t="str">
        <f>'Getting Started'!$G$12</f>
        <v/>
      </c>
      <c r="I4" s="59" t="s">
        <v>14</v>
      </c>
      <c r="K4" s="60" t="str">
        <f>'Getting Started'!$I$12</f>
        <v/>
      </c>
      <c r="P4" s="40"/>
    </row>
    <row r="5" ht="15.75" customHeight="1">
      <c r="A5" s="73"/>
      <c r="B5" s="1"/>
      <c r="C5" s="59" t="s">
        <v>15</v>
      </c>
      <c r="F5" s="62" t="str">
        <f>'Getting Started'!$G$14</f>
        <v/>
      </c>
      <c r="I5" s="59" t="s">
        <v>16</v>
      </c>
      <c r="K5" s="60" t="str">
        <f>'Getting Started'!$I$14</f>
        <v/>
      </c>
      <c r="P5" s="40"/>
    </row>
    <row r="6" ht="15.75" customHeight="1">
      <c r="A6" s="73"/>
      <c r="B6" s="19" t="s">
        <v>84</v>
      </c>
      <c r="P6" s="40"/>
    </row>
    <row r="7" ht="31.5" customHeight="1">
      <c r="A7" s="40"/>
      <c r="B7" s="76" t="s">
        <v>53</v>
      </c>
      <c r="C7" s="8"/>
      <c r="D7" s="8"/>
      <c r="E7" s="8"/>
      <c r="F7" s="8"/>
      <c r="G7" s="8"/>
      <c r="H7" s="8"/>
      <c r="I7" s="8"/>
      <c r="J7" s="77"/>
      <c r="K7" s="78" t="s">
        <v>54</v>
      </c>
      <c r="L7" s="79" t="s">
        <v>55</v>
      </c>
      <c r="M7" s="80" t="s">
        <v>56</v>
      </c>
      <c r="N7" s="81"/>
      <c r="O7" s="82" t="s">
        <v>57</v>
      </c>
      <c r="P7" s="1"/>
    </row>
    <row r="8" ht="15.75" customHeight="1">
      <c r="A8" s="40"/>
      <c r="B8" s="83"/>
      <c r="J8" s="47"/>
      <c r="K8" s="84"/>
      <c r="L8" s="85"/>
      <c r="M8" s="86"/>
      <c r="N8" s="87"/>
      <c r="O8" s="88"/>
      <c r="P8" s="1"/>
    </row>
    <row r="9" ht="15.75" customHeight="1">
      <c r="A9" s="40"/>
      <c r="B9" s="141"/>
      <c r="J9" s="47"/>
      <c r="K9" s="84"/>
      <c r="L9" s="85" t="b">
        <v>0</v>
      </c>
      <c r="M9" s="86"/>
      <c r="N9" s="142"/>
      <c r="O9" s="88"/>
      <c r="P9" s="40"/>
    </row>
    <row r="10" ht="15.75" customHeight="1">
      <c r="A10" s="40"/>
      <c r="B10" s="141"/>
      <c r="J10" s="47"/>
      <c r="K10" s="84"/>
      <c r="L10" s="143" t="b">
        <v>0</v>
      </c>
      <c r="M10" s="86"/>
      <c r="N10" s="142"/>
      <c r="O10" s="144"/>
      <c r="P10" s="40"/>
    </row>
    <row r="11" ht="15.75" customHeight="1">
      <c r="A11" s="40"/>
      <c r="B11" s="141"/>
      <c r="J11" s="47"/>
      <c r="K11" s="145"/>
      <c r="L11" s="85" t="b">
        <v>0</v>
      </c>
      <c r="M11" s="146"/>
      <c r="N11" s="142"/>
      <c r="O11" s="144"/>
      <c r="P11" s="40"/>
    </row>
    <row r="12" ht="15.75" customHeight="1">
      <c r="A12" s="40"/>
      <c r="B12" s="141"/>
      <c r="J12" s="47"/>
      <c r="K12" s="145"/>
      <c r="L12" s="85" t="b">
        <v>0</v>
      </c>
      <c r="M12" s="146"/>
      <c r="N12" s="142"/>
      <c r="O12" s="144"/>
      <c r="P12" s="40"/>
    </row>
    <row r="13" ht="15.75" customHeight="1">
      <c r="A13" s="40"/>
      <c r="B13" s="89"/>
      <c r="C13" s="16"/>
      <c r="D13" s="16"/>
      <c r="E13" s="16"/>
      <c r="F13" s="16"/>
      <c r="G13" s="16"/>
      <c r="H13" s="16"/>
      <c r="I13" s="16"/>
      <c r="J13" s="90"/>
      <c r="K13" s="91"/>
      <c r="L13" s="92" t="b">
        <v>0</v>
      </c>
      <c r="M13" s="93"/>
      <c r="N13" s="94"/>
      <c r="O13" s="95"/>
      <c r="P13" s="40"/>
    </row>
    <row r="14" ht="15.75" customHeight="1">
      <c r="A14" s="40"/>
      <c r="B14" s="96"/>
      <c r="C14" s="1"/>
      <c r="D14" s="1"/>
      <c r="E14" s="1"/>
      <c r="F14" s="1"/>
      <c r="G14" s="1"/>
      <c r="H14" s="1"/>
      <c r="I14" s="1"/>
      <c r="J14" s="101" t="s">
        <v>85</v>
      </c>
      <c r="K14" s="102"/>
      <c r="L14" s="1"/>
      <c r="M14" s="1"/>
      <c r="N14" s="97"/>
      <c r="O14" s="97"/>
      <c r="P14" s="40"/>
    </row>
    <row r="15" ht="15.75" customHeight="1">
      <c r="A15" s="40"/>
      <c r="B15" s="96"/>
      <c r="C15" s="100"/>
      <c r="D15" s="100"/>
      <c r="E15" s="100"/>
      <c r="F15" s="100"/>
      <c r="G15" s="100"/>
      <c r="H15" s="100"/>
      <c r="I15" s="100"/>
      <c r="J15" s="108" t="s">
        <v>63</v>
      </c>
      <c r="K15" s="109"/>
      <c r="L15" s="110"/>
      <c r="M15" s="111" t="s">
        <v>64</v>
      </c>
      <c r="N15" s="109"/>
      <c r="O15" s="102"/>
      <c r="P15" s="40"/>
    </row>
    <row r="16" ht="15.75" customHeight="1">
      <c r="A16" s="40"/>
      <c r="B16" s="19" t="s">
        <v>86</v>
      </c>
      <c r="C16" s="100"/>
      <c r="D16" s="100"/>
      <c r="E16" s="100"/>
      <c r="F16" s="100"/>
      <c r="G16" s="100"/>
      <c r="H16" s="100"/>
      <c r="I16" s="100"/>
      <c r="J16" s="117" t="str">
        <f t="array" ref="J16">GPA({K8:K13,M8:M13,O8:O13},1,2)</f>
        <v>Loading...</v>
      </c>
      <c r="K16" s="118"/>
      <c r="L16" s="110"/>
      <c r="M16" s="119" t="str">
        <f t="array" ref="M16">CREDITSSUM({K8:K13,M8:M13},1,2)</f>
        <v>Loading...</v>
      </c>
      <c r="N16" s="118"/>
      <c r="O16" s="120"/>
      <c r="P16" s="40"/>
    </row>
    <row r="17" ht="31.5" customHeight="1">
      <c r="A17" s="40"/>
      <c r="B17" s="76" t="s">
        <v>53</v>
      </c>
      <c r="C17" s="8"/>
      <c r="D17" s="8"/>
      <c r="E17" s="8"/>
      <c r="F17" s="8"/>
      <c r="G17" s="8"/>
      <c r="H17" s="8"/>
      <c r="I17" s="8"/>
      <c r="J17" s="77"/>
      <c r="K17" s="78" t="s">
        <v>54</v>
      </c>
      <c r="L17" s="79" t="s">
        <v>55</v>
      </c>
      <c r="M17" s="80" t="s">
        <v>56</v>
      </c>
      <c r="N17" s="81"/>
      <c r="O17" s="82" t="s">
        <v>57</v>
      </c>
      <c r="P17" s="1"/>
    </row>
    <row r="18" ht="15.75" customHeight="1">
      <c r="A18" s="40"/>
      <c r="B18" s="83"/>
      <c r="J18" s="47"/>
      <c r="K18" s="84"/>
      <c r="L18" s="85"/>
      <c r="M18" s="86"/>
      <c r="N18" s="87"/>
      <c r="O18" s="88"/>
      <c r="P18" s="1"/>
    </row>
    <row r="19" ht="15.75" customHeight="1">
      <c r="A19" s="40"/>
      <c r="B19" s="141"/>
      <c r="J19" s="47"/>
      <c r="K19" s="84"/>
      <c r="L19" s="85" t="b">
        <v>0</v>
      </c>
      <c r="M19" s="86"/>
      <c r="N19" s="142"/>
      <c r="O19" s="88"/>
      <c r="P19" s="40"/>
    </row>
    <row r="20" ht="15.75" customHeight="1">
      <c r="A20" s="40"/>
      <c r="B20" s="141"/>
      <c r="J20" s="47"/>
      <c r="K20" s="84"/>
      <c r="L20" s="143" t="b">
        <v>0</v>
      </c>
      <c r="M20" s="86"/>
      <c r="N20" s="142"/>
      <c r="O20" s="144"/>
      <c r="P20" s="40"/>
    </row>
    <row r="21" ht="15.75" customHeight="1">
      <c r="A21" s="40"/>
      <c r="B21" s="141"/>
      <c r="J21" s="47"/>
      <c r="K21" s="145"/>
      <c r="L21" s="143" t="b">
        <v>0</v>
      </c>
      <c r="M21" s="146"/>
      <c r="N21" s="142"/>
      <c r="O21" s="144"/>
      <c r="P21" s="40"/>
    </row>
    <row r="22" ht="15.75" customHeight="1">
      <c r="A22" s="40"/>
      <c r="B22" s="141"/>
      <c r="J22" s="47"/>
      <c r="K22" s="145"/>
      <c r="L22" s="85" t="b">
        <v>0</v>
      </c>
      <c r="M22" s="146"/>
      <c r="N22" s="142"/>
      <c r="O22" s="144"/>
      <c r="P22" s="40"/>
    </row>
    <row r="23" ht="15.75" customHeight="1">
      <c r="A23" s="40"/>
      <c r="B23" s="89"/>
      <c r="C23" s="16"/>
      <c r="D23" s="16"/>
      <c r="E23" s="16"/>
      <c r="F23" s="16"/>
      <c r="G23" s="16"/>
      <c r="H23" s="16"/>
      <c r="I23" s="16"/>
      <c r="J23" s="90"/>
      <c r="K23" s="91"/>
      <c r="L23" s="92" t="b">
        <v>0</v>
      </c>
      <c r="M23" s="93"/>
      <c r="N23" s="94"/>
      <c r="O23" s="95"/>
      <c r="P23" s="40"/>
    </row>
    <row r="24" ht="15.75" customHeight="1">
      <c r="A24" s="40"/>
      <c r="B24" s="96"/>
      <c r="C24" s="1"/>
      <c r="D24" s="1"/>
      <c r="E24" s="1"/>
      <c r="F24" s="1"/>
      <c r="G24" s="1"/>
      <c r="H24" s="1"/>
      <c r="I24" s="1"/>
      <c r="J24" s="101" t="s">
        <v>87</v>
      </c>
      <c r="K24" s="102"/>
      <c r="L24" s="1"/>
      <c r="M24" s="1"/>
      <c r="N24" s="97"/>
      <c r="O24" s="97"/>
      <c r="P24" s="40"/>
    </row>
    <row r="25" ht="15.75" customHeight="1">
      <c r="A25" s="40"/>
      <c r="B25" s="96"/>
      <c r="C25" s="100"/>
      <c r="D25" s="100"/>
      <c r="E25" s="100"/>
      <c r="F25" s="100"/>
      <c r="G25" s="100"/>
      <c r="H25" s="100"/>
      <c r="I25" s="100"/>
      <c r="J25" s="108" t="s">
        <v>63</v>
      </c>
      <c r="K25" s="109"/>
      <c r="L25" s="110"/>
      <c r="M25" s="111" t="s">
        <v>64</v>
      </c>
      <c r="N25" s="109"/>
      <c r="O25" s="102"/>
      <c r="P25" s="40"/>
    </row>
    <row r="26" ht="15.75" customHeight="1">
      <c r="A26" s="40"/>
      <c r="B26" s="19" t="s">
        <v>88</v>
      </c>
      <c r="C26" s="100"/>
      <c r="D26" s="100"/>
      <c r="E26" s="100"/>
      <c r="F26" s="100"/>
      <c r="G26" s="100"/>
      <c r="H26" s="100"/>
      <c r="I26" s="100"/>
      <c r="J26" s="117" t="str">
        <f t="array" ref="J26">GPA({K18:K23,M18:M23,O18:O23},1,2)</f>
        <v>Loading...</v>
      </c>
      <c r="K26" s="118"/>
      <c r="L26" s="110"/>
      <c r="M26" s="119" t="str">
        <f t="array" ref="M26">CREDITSSUM({K18:K23,M18:M23},1,2)</f>
        <v>Loading...</v>
      </c>
      <c r="N26" s="118"/>
      <c r="O26" s="120"/>
      <c r="P26" s="40"/>
    </row>
    <row r="27" ht="31.5" customHeight="1">
      <c r="A27" s="40"/>
      <c r="B27" s="76" t="s">
        <v>53</v>
      </c>
      <c r="C27" s="8"/>
      <c r="D27" s="8"/>
      <c r="E27" s="8"/>
      <c r="F27" s="8"/>
      <c r="G27" s="8"/>
      <c r="H27" s="8"/>
      <c r="I27" s="8"/>
      <c r="J27" s="77"/>
      <c r="K27" s="78" t="s">
        <v>54</v>
      </c>
      <c r="L27" s="79" t="s">
        <v>55</v>
      </c>
      <c r="M27" s="80" t="s">
        <v>56</v>
      </c>
      <c r="N27" s="81"/>
      <c r="O27" s="82" t="s">
        <v>57</v>
      </c>
      <c r="P27" s="1"/>
    </row>
    <row r="28" ht="15.75" customHeight="1">
      <c r="A28" s="40"/>
      <c r="B28" s="83"/>
      <c r="J28" s="47"/>
      <c r="K28" s="84"/>
      <c r="L28" s="85"/>
      <c r="M28" s="86"/>
      <c r="N28" s="87"/>
      <c r="O28" s="88"/>
      <c r="P28" s="1"/>
    </row>
    <row r="29" ht="15.75" customHeight="1">
      <c r="A29" s="40"/>
      <c r="B29" s="141"/>
      <c r="J29" s="47"/>
      <c r="K29" s="84"/>
      <c r="L29" s="85" t="b">
        <v>0</v>
      </c>
      <c r="M29" s="86"/>
      <c r="N29" s="142"/>
      <c r="O29" s="88"/>
      <c r="P29" s="40"/>
    </row>
    <row r="30" ht="15.75" customHeight="1">
      <c r="A30" s="40"/>
      <c r="B30" s="141"/>
      <c r="J30" s="47"/>
      <c r="K30" s="84"/>
      <c r="L30" s="143" t="b">
        <v>0</v>
      </c>
      <c r="M30" s="86"/>
      <c r="N30" s="142"/>
      <c r="O30" s="144"/>
      <c r="P30" s="40"/>
    </row>
    <row r="31" ht="15.75" customHeight="1">
      <c r="A31" s="40"/>
      <c r="B31" s="141"/>
      <c r="J31" s="47"/>
      <c r="K31" s="145"/>
      <c r="L31" s="143" t="b">
        <v>0</v>
      </c>
      <c r="M31" s="146"/>
      <c r="N31" s="142"/>
      <c r="O31" s="144"/>
      <c r="P31" s="40"/>
    </row>
    <row r="32" ht="15.75" customHeight="1">
      <c r="A32" s="40"/>
      <c r="B32" s="141"/>
      <c r="J32" s="47"/>
      <c r="K32" s="145"/>
      <c r="L32" s="85" t="b">
        <v>0</v>
      </c>
      <c r="M32" s="146"/>
      <c r="N32" s="142"/>
      <c r="O32" s="144"/>
      <c r="P32" s="40"/>
    </row>
    <row r="33" ht="15.75" customHeight="1">
      <c r="A33" s="40"/>
      <c r="B33" s="89"/>
      <c r="C33" s="16"/>
      <c r="D33" s="16"/>
      <c r="E33" s="16"/>
      <c r="F33" s="16"/>
      <c r="G33" s="16"/>
      <c r="H33" s="16"/>
      <c r="I33" s="16"/>
      <c r="J33" s="90"/>
      <c r="K33" s="91"/>
      <c r="L33" s="92" t="b">
        <v>0</v>
      </c>
      <c r="M33" s="93"/>
      <c r="N33" s="94"/>
      <c r="O33" s="95"/>
      <c r="P33" s="40"/>
    </row>
    <row r="34" ht="15.75" customHeight="1">
      <c r="A34" s="40"/>
      <c r="B34" s="96"/>
      <c r="C34" s="1"/>
      <c r="D34" s="1"/>
      <c r="E34" s="1"/>
      <c r="F34" s="1"/>
      <c r="G34" s="1"/>
      <c r="H34" s="1"/>
      <c r="I34" s="1"/>
      <c r="J34" s="101" t="s">
        <v>89</v>
      </c>
      <c r="K34" s="102"/>
      <c r="L34" s="1"/>
      <c r="M34" s="1"/>
      <c r="N34" s="97"/>
      <c r="O34" s="97"/>
      <c r="P34" s="40"/>
    </row>
    <row r="35" ht="15.75" customHeight="1">
      <c r="A35" s="40"/>
      <c r="B35" s="96"/>
      <c r="C35" s="100"/>
      <c r="D35" s="100"/>
      <c r="E35" s="100"/>
      <c r="F35" s="100"/>
      <c r="G35" s="100"/>
      <c r="H35" s="100"/>
      <c r="I35" s="100"/>
      <c r="J35" s="108" t="s">
        <v>63</v>
      </c>
      <c r="K35" s="109"/>
      <c r="L35" s="110"/>
      <c r="M35" s="111" t="s">
        <v>64</v>
      </c>
      <c r="N35" s="109"/>
      <c r="O35" s="102"/>
      <c r="P35" s="40"/>
    </row>
    <row r="36" ht="15.75" customHeight="1">
      <c r="A36" s="40"/>
      <c r="B36" s="19" t="s">
        <v>88</v>
      </c>
      <c r="C36" s="100"/>
      <c r="D36" s="100"/>
      <c r="E36" s="100"/>
      <c r="F36" s="100"/>
      <c r="G36" s="100"/>
      <c r="H36" s="100"/>
      <c r="I36" s="100"/>
      <c r="J36" s="117" t="str">
        <f t="array" ref="J36">GPA({K28:K33,M28:M33,O28:O33},1,2)</f>
        <v>Loading...</v>
      </c>
      <c r="K36" s="118"/>
      <c r="L36" s="110"/>
      <c r="M36" s="119" t="str">
        <f t="array" ref="M36">CREDITSSUM({K28:K33,M28:M33},1,2)</f>
        <v>Loading...</v>
      </c>
      <c r="N36" s="118"/>
      <c r="O36" s="120"/>
      <c r="P36" s="40"/>
    </row>
    <row r="37" ht="31.5" customHeight="1">
      <c r="A37" s="40"/>
      <c r="B37" s="76" t="s">
        <v>53</v>
      </c>
      <c r="C37" s="8"/>
      <c r="D37" s="8"/>
      <c r="E37" s="8"/>
      <c r="F37" s="8"/>
      <c r="G37" s="8"/>
      <c r="H37" s="8"/>
      <c r="I37" s="8"/>
      <c r="J37" s="77"/>
      <c r="K37" s="78" t="s">
        <v>54</v>
      </c>
      <c r="L37" s="79" t="s">
        <v>55</v>
      </c>
      <c r="M37" s="80" t="s">
        <v>56</v>
      </c>
      <c r="N37" s="81"/>
      <c r="O37" s="82" t="s">
        <v>57</v>
      </c>
      <c r="P37" s="1"/>
    </row>
    <row r="38" ht="15.75" customHeight="1">
      <c r="A38" s="40"/>
      <c r="B38" s="83"/>
      <c r="J38" s="47"/>
      <c r="K38" s="84"/>
      <c r="L38" s="85"/>
      <c r="M38" s="86"/>
      <c r="N38" s="87"/>
      <c r="O38" s="88"/>
      <c r="P38" s="1"/>
    </row>
    <row r="39" ht="15.75" customHeight="1">
      <c r="A39" s="40"/>
      <c r="B39" s="141"/>
      <c r="J39" s="47"/>
      <c r="K39" s="84"/>
      <c r="L39" s="85" t="b">
        <v>0</v>
      </c>
      <c r="M39" s="86"/>
      <c r="N39" s="142"/>
      <c r="O39" s="88"/>
      <c r="P39" s="40"/>
    </row>
    <row r="40" ht="15.75" customHeight="1">
      <c r="A40" s="40"/>
      <c r="B40" s="141"/>
      <c r="J40" s="47"/>
      <c r="K40" s="84"/>
      <c r="L40" s="143" t="b">
        <v>0</v>
      </c>
      <c r="M40" s="86"/>
      <c r="N40" s="142"/>
      <c r="O40" s="144"/>
      <c r="P40" s="40"/>
    </row>
    <row r="41" ht="15.75" customHeight="1">
      <c r="A41" s="40"/>
      <c r="B41" s="141"/>
      <c r="J41" s="47"/>
      <c r="K41" s="145"/>
      <c r="L41" s="143" t="b">
        <v>0</v>
      </c>
      <c r="M41" s="146"/>
      <c r="N41" s="142"/>
      <c r="O41" s="144"/>
      <c r="P41" s="40"/>
    </row>
    <row r="42" ht="15.75" customHeight="1">
      <c r="A42" s="40"/>
      <c r="B42" s="141"/>
      <c r="J42" s="47"/>
      <c r="K42" s="145"/>
      <c r="L42" s="85" t="b">
        <v>0</v>
      </c>
      <c r="M42" s="146"/>
      <c r="N42" s="142"/>
      <c r="O42" s="144"/>
      <c r="P42" s="40"/>
    </row>
    <row r="43" ht="15.75" customHeight="1">
      <c r="A43" s="40"/>
      <c r="B43" s="89"/>
      <c r="C43" s="16"/>
      <c r="D43" s="16"/>
      <c r="E43" s="16"/>
      <c r="F43" s="16"/>
      <c r="G43" s="16"/>
      <c r="H43" s="16"/>
      <c r="I43" s="16"/>
      <c r="J43" s="90"/>
      <c r="K43" s="91"/>
      <c r="L43" s="92" t="b">
        <v>0</v>
      </c>
      <c r="M43" s="93"/>
      <c r="N43" s="94"/>
      <c r="O43" s="95"/>
      <c r="P43" s="40"/>
    </row>
    <row r="44" ht="15.75" customHeight="1">
      <c r="A44" s="40"/>
      <c r="B44" s="96"/>
      <c r="C44" s="1"/>
      <c r="D44" s="1"/>
      <c r="E44" s="1"/>
      <c r="F44" s="1"/>
      <c r="G44" s="1"/>
      <c r="H44" s="1"/>
      <c r="I44" s="1"/>
      <c r="J44" s="101" t="s">
        <v>89</v>
      </c>
      <c r="K44" s="102"/>
      <c r="L44" s="1"/>
      <c r="M44" s="1"/>
      <c r="N44" s="97"/>
      <c r="O44" s="97"/>
      <c r="P44" s="40"/>
    </row>
    <row r="45" ht="15.75" customHeight="1">
      <c r="A45" s="40"/>
      <c r="B45" s="98" t="s">
        <v>58</v>
      </c>
      <c r="C45" s="99"/>
      <c r="D45" s="99"/>
      <c r="E45" s="99"/>
      <c r="F45" s="99"/>
      <c r="G45" s="99"/>
      <c r="H45" s="99"/>
      <c r="I45" s="100"/>
      <c r="J45" s="108" t="s">
        <v>63</v>
      </c>
      <c r="K45" s="109"/>
      <c r="L45" s="110"/>
      <c r="M45" s="111" t="s">
        <v>64</v>
      </c>
      <c r="N45" s="109"/>
      <c r="O45" s="102"/>
      <c r="P45" s="40"/>
    </row>
    <row r="46" ht="15.75" customHeight="1">
      <c r="A46" s="40"/>
      <c r="B46" s="103" t="s">
        <v>60</v>
      </c>
      <c r="C46" s="104" t="s">
        <v>61</v>
      </c>
      <c r="D46" s="105"/>
      <c r="E46" s="106"/>
      <c r="F46" s="104" t="s">
        <v>62</v>
      </c>
      <c r="G46" s="105"/>
      <c r="H46" s="107"/>
      <c r="I46" s="100"/>
      <c r="J46" s="117" t="str">
        <f t="array" ref="J46">GPA({K38:K43,M38:M43,O38:O43},1,2)</f>
        <v>Loading...</v>
      </c>
      <c r="K46" s="118"/>
      <c r="L46" s="110"/>
      <c r="M46" s="119" t="str">
        <f t="array" ref="M46">CREDITSSUM({K38:K43,M38:M43},1,2)</f>
        <v>Loading...</v>
      </c>
      <c r="N46" s="118"/>
      <c r="O46" s="120"/>
      <c r="P46" s="40"/>
    </row>
    <row r="47" ht="15.75" customHeight="1">
      <c r="A47" s="40"/>
      <c r="B47" s="112"/>
      <c r="C47" s="113" t="s">
        <v>65</v>
      </c>
      <c r="D47" s="114" t="s">
        <v>66</v>
      </c>
      <c r="E47" s="115" t="s">
        <v>67</v>
      </c>
      <c r="F47" s="113" t="s">
        <v>65</v>
      </c>
      <c r="G47" s="114" t="s">
        <v>66</v>
      </c>
      <c r="H47" s="116" t="s">
        <v>67</v>
      </c>
      <c r="I47" s="110"/>
      <c r="J47" s="1"/>
      <c r="K47" s="1"/>
      <c r="L47" s="1"/>
      <c r="M47" s="1"/>
      <c r="N47" s="1"/>
      <c r="O47" s="1"/>
      <c r="P47" s="40"/>
    </row>
    <row r="48" ht="15.75" customHeight="1">
      <c r="A48" s="40"/>
      <c r="B48" s="132" t="s">
        <v>68</v>
      </c>
      <c r="C48" s="122"/>
      <c r="D48" s="84"/>
      <c r="E48" s="123"/>
      <c r="F48" s="86"/>
      <c r="G48" s="84"/>
      <c r="H48" s="124"/>
      <c r="I48" s="110"/>
      <c r="J48" s="101" t="s">
        <v>59</v>
      </c>
      <c r="K48" s="102"/>
      <c r="L48" s="1"/>
      <c r="M48" s="1"/>
      <c r="N48" s="97"/>
      <c r="O48" s="97"/>
      <c r="P48" s="40"/>
    </row>
    <row r="49" ht="15.75" customHeight="1">
      <c r="A49" s="40"/>
      <c r="B49" s="132" t="s">
        <v>69</v>
      </c>
      <c r="C49" s="122"/>
      <c r="D49" s="84"/>
      <c r="E49" s="123"/>
      <c r="F49" s="86"/>
      <c r="G49" s="84"/>
      <c r="H49" s="124"/>
      <c r="I49" s="110"/>
      <c r="J49" s="108" t="s">
        <v>63</v>
      </c>
      <c r="K49" s="109"/>
      <c r="L49" s="110"/>
      <c r="M49" s="111" t="s">
        <v>64</v>
      </c>
      <c r="N49" s="109"/>
      <c r="O49" s="102"/>
      <c r="P49" s="40"/>
    </row>
    <row r="50" ht="15.75" customHeight="1">
      <c r="A50" s="40"/>
      <c r="B50" s="121" t="s">
        <v>70</v>
      </c>
      <c r="C50" s="122"/>
      <c r="D50" s="84"/>
      <c r="E50" s="123"/>
      <c r="F50" s="86"/>
      <c r="G50" s="84"/>
      <c r="H50" s="124"/>
      <c r="I50" s="110"/>
      <c r="J50" s="117" t="str">
        <f t="array" ref="J50">GPA({K8:K13,M8:M13,O8:O13;K18:K23,M18:M23,O18:O23;K28:K33,M28:M33,O28:O33;K38:K43,M38:M43,O38:O43},1,2)</f>
        <v>Loading...</v>
      </c>
      <c r="K50" s="118"/>
      <c r="L50" s="110"/>
      <c r="M50" s="119" t="str">
        <f t="array" ref="M50">CREDITSSUM({K8:K13,M8:M13;K18:K23,M18:M23;K28:K33,M28:M33;K38:K43,M38:M43},1,2)</f>
        <v>Loading...</v>
      </c>
      <c r="N50" s="118"/>
      <c r="O50" s="120"/>
      <c r="P50" s="40"/>
    </row>
    <row r="51" ht="15.75" customHeight="1">
      <c r="A51" s="40"/>
      <c r="B51" s="125" t="s">
        <v>71</v>
      </c>
      <c r="C51" s="126"/>
      <c r="D51" s="127"/>
      <c r="E51" s="128"/>
      <c r="F51" s="129"/>
      <c r="G51" s="127"/>
      <c r="H51" s="130"/>
      <c r="I51" s="97"/>
      <c r="J51" s="97"/>
      <c r="K51" s="97"/>
      <c r="L51" s="131"/>
      <c r="M51" s="97"/>
      <c r="N51" s="97"/>
      <c r="O51" s="97"/>
      <c r="P51" s="40"/>
    </row>
    <row r="52" ht="15.75" customHeight="1">
      <c r="A52" s="40"/>
      <c r="B52" s="96"/>
      <c r="C52" s="97"/>
      <c r="D52" s="97"/>
      <c r="E52" s="97"/>
      <c r="F52" s="97"/>
      <c r="G52" s="97"/>
      <c r="H52" s="97"/>
      <c r="I52" s="97"/>
      <c r="J52" s="97"/>
      <c r="K52" s="97"/>
      <c r="L52" s="131"/>
      <c r="M52" s="97"/>
      <c r="N52" s="97"/>
      <c r="O52" s="97"/>
      <c r="P52" s="40"/>
    </row>
    <row r="53" ht="15.75" customHeight="1">
      <c r="A53" s="40"/>
      <c r="B53" s="96"/>
      <c r="C53" s="97"/>
      <c r="D53" s="97"/>
      <c r="E53" s="97"/>
      <c r="F53" s="97"/>
      <c r="G53" s="97"/>
      <c r="H53" s="97"/>
      <c r="I53" s="97"/>
      <c r="J53" s="97"/>
      <c r="K53" s="97"/>
      <c r="L53" s="131"/>
      <c r="M53" s="97"/>
      <c r="N53" s="97"/>
      <c r="O53" s="97"/>
      <c r="P53" s="40"/>
    </row>
  </sheetData>
  <mergeCells count="74">
    <mergeCell ref="B27:J27"/>
    <mergeCell ref="B28:J28"/>
    <mergeCell ref="B29:J29"/>
    <mergeCell ref="B30:J30"/>
    <mergeCell ref="B31:J31"/>
    <mergeCell ref="B32:J32"/>
    <mergeCell ref="B33:J33"/>
    <mergeCell ref="J44:K44"/>
    <mergeCell ref="J45:K45"/>
    <mergeCell ref="M45:O45"/>
    <mergeCell ref="M46:O46"/>
    <mergeCell ref="B37:J37"/>
    <mergeCell ref="B38:J38"/>
    <mergeCell ref="B39:J39"/>
    <mergeCell ref="B40:J40"/>
    <mergeCell ref="B41:J41"/>
    <mergeCell ref="B42:J42"/>
    <mergeCell ref="B43:J43"/>
    <mergeCell ref="M49:O49"/>
    <mergeCell ref="M50:O50"/>
    <mergeCell ref="B46:B47"/>
    <mergeCell ref="C46:E46"/>
    <mergeCell ref="F46:H46"/>
    <mergeCell ref="J46:K46"/>
    <mergeCell ref="J48:K48"/>
    <mergeCell ref="J49:K49"/>
    <mergeCell ref="J50:K50"/>
    <mergeCell ref="C1:H1"/>
    <mergeCell ref="I1:O1"/>
    <mergeCell ref="C2:E2"/>
    <mergeCell ref="F2:H2"/>
    <mergeCell ref="I2:J2"/>
    <mergeCell ref="K2:O2"/>
    <mergeCell ref="C3:E3"/>
    <mergeCell ref="K3:O3"/>
    <mergeCell ref="F3:H3"/>
    <mergeCell ref="I3:J3"/>
    <mergeCell ref="C4:E4"/>
    <mergeCell ref="F4:H4"/>
    <mergeCell ref="I4:J4"/>
    <mergeCell ref="K4:O4"/>
    <mergeCell ref="C5:E6"/>
    <mergeCell ref="K5:O6"/>
    <mergeCell ref="F5:H6"/>
    <mergeCell ref="I5:J6"/>
    <mergeCell ref="B7:J7"/>
    <mergeCell ref="B8:J8"/>
    <mergeCell ref="B9:J9"/>
    <mergeCell ref="B10:J10"/>
    <mergeCell ref="B11:J11"/>
    <mergeCell ref="B12:J12"/>
    <mergeCell ref="B13:J13"/>
    <mergeCell ref="J14:K14"/>
    <mergeCell ref="J15:K15"/>
    <mergeCell ref="M15:O15"/>
    <mergeCell ref="J16:K16"/>
    <mergeCell ref="M16:O16"/>
    <mergeCell ref="J24:K24"/>
    <mergeCell ref="J25:K25"/>
    <mergeCell ref="M25:O25"/>
    <mergeCell ref="J26:K26"/>
    <mergeCell ref="M26:O26"/>
    <mergeCell ref="B17:J17"/>
    <mergeCell ref="B18:J18"/>
    <mergeCell ref="B19:J19"/>
    <mergeCell ref="B20:J20"/>
    <mergeCell ref="B21:J21"/>
    <mergeCell ref="B22:J22"/>
    <mergeCell ref="B23:J23"/>
    <mergeCell ref="J34:K34"/>
    <mergeCell ref="J35:K35"/>
    <mergeCell ref="M35:O35"/>
    <mergeCell ref="J36:K36"/>
    <mergeCell ref="M36:O36"/>
  </mergeCells>
  <dataValidations>
    <dataValidation type="custom" allowBlank="1" showDropDown="1" showInputMessage="1" showErrorMessage="1" prompt="Enter a number" sqref="K8:K12 O8:O13 K18:K22 O18:O23 K28:K32 O28:O33 K38:K42 O38:O43">
      <formula1>ISNUMBER(K8)</formula1>
    </dataValidation>
    <dataValidation type="list" allowBlank="1" showInputMessage="1" showErrorMessage="1" prompt="Click and enter a valid scale from the list of items. The valid scales are Letter, 0-100, 0-4, and None" sqref="B3">
      <formula1>"Letter,0-4,0-100,None"</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8.88"/>
    <col customWidth="1" min="3" max="8" width="6.38"/>
    <col customWidth="1" hidden="1" min="9" max="9" width="18.88"/>
    <col customWidth="1" min="10" max="10" width="18.88"/>
    <col customWidth="1" min="11" max="11" width="6.38"/>
    <col customWidth="1" hidden="1" min="12" max="12" width="18.88"/>
    <col customWidth="1" min="13" max="13" width="6.38"/>
    <col customWidth="1" hidden="1" min="14" max="14" width="6.38"/>
    <col customWidth="1" min="15" max="15" width="6.38"/>
  </cols>
  <sheetData>
    <row r="1" ht="31.5" customHeight="1">
      <c r="A1" s="58"/>
      <c r="B1" s="1"/>
      <c r="C1" s="71" t="s">
        <v>5</v>
      </c>
      <c r="I1" s="58" t="s">
        <v>6</v>
      </c>
      <c r="P1" s="72"/>
    </row>
    <row r="2" ht="15.75" customHeight="1">
      <c r="A2" s="73"/>
      <c r="B2" s="74" t="s">
        <v>50</v>
      </c>
      <c r="C2" s="59" t="s">
        <v>8</v>
      </c>
      <c r="F2" s="60" t="str">
        <f>'Getting Started'!$G$10</f>
        <v/>
      </c>
      <c r="I2" s="59" t="s">
        <v>9</v>
      </c>
      <c r="K2" s="60" t="str">
        <f>'Getting Started'!$I$10</f>
        <v/>
      </c>
      <c r="P2" s="40"/>
    </row>
    <row r="3" ht="15.75" customHeight="1">
      <c r="A3" s="73"/>
      <c r="B3" s="75" t="s">
        <v>51</v>
      </c>
      <c r="C3" s="59" t="s">
        <v>11</v>
      </c>
      <c r="F3" s="61" t="str">
        <f>'Getting Started'!$G$11</f>
        <v/>
      </c>
      <c r="I3" s="59" t="s">
        <v>12</v>
      </c>
      <c r="K3" s="60" t="str">
        <f>'Getting Started'!$I$11</f>
        <v/>
      </c>
      <c r="P3" s="40"/>
    </row>
    <row r="4" ht="31.5" customHeight="1">
      <c r="A4" s="73"/>
      <c r="B4" s="1"/>
      <c r="C4" s="59" t="s">
        <v>13</v>
      </c>
      <c r="F4" s="60" t="str">
        <f>'Getting Started'!$G$12</f>
        <v/>
      </c>
      <c r="I4" s="59" t="s">
        <v>14</v>
      </c>
      <c r="K4" s="60" t="str">
        <f>'Getting Started'!$I$12</f>
        <v/>
      </c>
      <c r="P4" s="40"/>
    </row>
    <row r="5" ht="15.75" customHeight="1">
      <c r="A5" s="73"/>
      <c r="B5" s="1"/>
      <c r="C5" s="59" t="s">
        <v>15</v>
      </c>
      <c r="F5" s="62" t="str">
        <f>'Getting Started'!$G$14</f>
        <v/>
      </c>
      <c r="I5" s="59" t="s">
        <v>16</v>
      </c>
      <c r="K5" s="60" t="str">
        <f>'Getting Started'!$I$14</f>
        <v/>
      </c>
      <c r="P5" s="40"/>
    </row>
    <row r="6" ht="15.75" customHeight="1">
      <c r="A6" s="73"/>
      <c r="B6" s="19" t="s">
        <v>84</v>
      </c>
      <c r="P6" s="40"/>
    </row>
    <row r="7" ht="31.5" customHeight="1">
      <c r="A7" s="40"/>
      <c r="B7" s="76" t="s">
        <v>53</v>
      </c>
      <c r="C7" s="8"/>
      <c r="D7" s="8"/>
      <c r="E7" s="8"/>
      <c r="F7" s="8"/>
      <c r="G7" s="8"/>
      <c r="H7" s="8"/>
      <c r="I7" s="8"/>
      <c r="J7" s="77"/>
      <c r="K7" s="78" t="s">
        <v>54</v>
      </c>
      <c r="L7" s="79" t="s">
        <v>55</v>
      </c>
      <c r="M7" s="80" t="s">
        <v>56</v>
      </c>
      <c r="N7" s="81"/>
      <c r="O7" s="82" t="s">
        <v>57</v>
      </c>
      <c r="P7" s="1"/>
    </row>
    <row r="8" ht="15.75" customHeight="1">
      <c r="A8" s="40"/>
      <c r="B8" s="83"/>
      <c r="J8" s="47"/>
      <c r="K8" s="84"/>
      <c r="L8" s="85"/>
      <c r="M8" s="86"/>
      <c r="N8" s="87"/>
      <c r="O8" s="88"/>
      <c r="P8" s="1"/>
    </row>
    <row r="9" ht="15.75" customHeight="1">
      <c r="A9" s="40"/>
      <c r="B9" s="141"/>
      <c r="J9" s="47"/>
      <c r="K9" s="84"/>
      <c r="L9" s="85" t="b">
        <v>0</v>
      </c>
      <c r="M9" s="86"/>
      <c r="N9" s="142"/>
      <c r="O9" s="88"/>
      <c r="P9" s="40"/>
    </row>
    <row r="10" ht="15.75" customHeight="1">
      <c r="A10" s="40"/>
      <c r="B10" s="141"/>
      <c r="J10" s="47"/>
      <c r="K10" s="84"/>
      <c r="L10" s="143" t="b">
        <v>0</v>
      </c>
      <c r="M10" s="86"/>
      <c r="N10" s="142"/>
      <c r="O10" s="144"/>
      <c r="P10" s="40"/>
    </row>
    <row r="11" ht="15.75" customHeight="1">
      <c r="A11" s="40"/>
      <c r="B11" s="141"/>
      <c r="J11" s="47"/>
      <c r="K11" s="145"/>
      <c r="L11" s="85" t="b">
        <v>0</v>
      </c>
      <c r="M11" s="146"/>
      <c r="N11" s="142"/>
      <c r="O11" s="144"/>
      <c r="P11" s="40"/>
    </row>
    <row r="12" ht="15.75" customHeight="1">
      <c r="A12" s="40"/>
      <c r="B12" s="141"/>
      <c r="J12" s="47"/>
      <c r="K12" s="145"/>
      <c r="L12" s="85" t="b">
        <v>0</v>
      </c>
      <c r="M12" s="146"/>
      <c r="N12" s="142"/>
      <c r="O12" s="144"/>
      <c r="P12" s="40"/>
    </row>
    <row r="13" ht="15.75" customHeight="1">
      <c r="A13" s="40"/>
      <c r="B13" s="89"/>
      <c r="C13" s="16"/>
      <c r="D13" s="16"/>
      <c r="E13" s="16"/>
      <c r="F13" s="16"/>
      <c r="G13" s="16"/>
      <c r="H13" s="16"/>
      <c r="I13" s="16"/>
      <c r="J13" s="90"/>
      <c r="K13" s="91"/>
      <c r="L13" s="92" t="b">
        <v>0</v>
      </c>
      <c r="M13" s="93"/>
      <c r="N13" s="94"/>
      <c r="O13" s="95"/>
      <c r="P13" s="40"/>
    </row>
    <row r="14" ht="15.75" customHeight="1">
      <c r="A14" s="40"/>
      <c r="B14" s="96"/>
      <c r="C14" s="1"/>
      <c r="D14" s="1"/>
      <c r="E14" s="1"/>
      <c r="F14" s="1"/>
      <c r="G14" s="1"/>
      <c r="H14" s="1"/>
      <c r="I14" s="1"/>
      <c r="J14" s="101" t="s">
        <v>85</v>
      </c>
      <c r="K14" s="102"/>
      <c r="L14" s="1"/>
      <c r="M14" s="1"/>
      <c r="N14" s="97"/>
      <c r="O14" s="97"/>
      <c r="P14" s="40"/>
    </row>
    <row r="15" ht="15.75" customHeight="1">
      <c r="A15" s="40"/>
      <c r="B15" s="96"/>
      <c r="C15" s="100"/>
      <c r="D15" s="100"/>
      <c r="E15" s="100"/>
      <c r="F15" s="100"/>
      <c r="G15" s="100"/>
      <c r="H15" s="100"/>
      <c r="I15" s="100"/>
      <c r="J15" s="108" t="s">
        <v>63</v>
      </c>
      <c r="K15" s="109"/>
      <c r="L15" s="110"/>
      <c r="M15" s="111" t="s">
        <v>64</v>
      </c>
      <c r="N15" s="109"/>
      <c r="O15" s="102"/>
      <c r="P15" s="40"/>
    </row>
    <row r="16" ht="15.75" customHeight="1">
      <c r="A16" s="40"/>
      <c r="B16" s="19" t="s">
        <v>86</v>
      </c>
      <c r="C16" s="100"/>
      <c r="D16" s="100"/>
      <c r="E16" s="100"/>
      <c r="F16" s="100"/>
      <c r="G16" s="100"/>
      <c r="H16" s="100"/>
      <c r="I16" s="100"/>
      <c r="J16" s="117" t="str">
        <f t="array" ref="J16">GPA({K8:K13,M8:M13,O8:O13},1,2)</f>
        <v>Loading...</v>
      </c>
      <c r="K16" s="118"/>
      <c r="L16" s="110"/>
      <c r="M16" s="119" t="str">
        <f t="array" ref="M16">CREDITSSUM({K8:K13,M8:M13},1,2)</f>
        <v>Loading...</v>
      </c>
      <c r="N16" s="118"/>
      <c r="O16" s="120"/>
      <c r="P16" s="40"/>
    </row>
    <row r="17" ht="31.5" customHeight="1">
      <c r="A17" s="40"/>
      <c r="B17" s="76" t="s">
        <v>53</v>
      </c>
      <c r="C17" s="8"/>
      <c r="D17" s="8"/>
      <c r="E17" s="8"/>
      <c r="F17" s="8"/>
      <c r="G17" s="8"/>
      <c r="H17" s="8"/>
      <c r="I17" s="8"/>
      <c r="J17" s="77"/>
      <c r="K17" s="78" t="s">
        <v>54</v>
      </c>
      <c r="L17" s="79" t="s">
        <v>55</v>
      </c>
      <c r="M17" s="80" t="s">
        <v>56</v>
      </c>
      <c r="N17" s="81"/>
      <c r="O17" s="82" t="s">
        <v>57</v>
      </c>
      <c r="P17" s="1"/>
    </row>
    <row r="18" ht="15.75" customHeight="1">
      <c r="A18" s="40"/>
      <c r="B18" s="83"/>
      <c r="J18" s="47"/>
      <c r="K18" s="84"/>
      <c r="L18" s="85"/>
      <c r="M18" s="86"/>
      <c r="N18" s="87"/>
      <c r="O18" s="88"/>
      <c r="P18" s="1"/>
    </row>
    <row r="19" ht="15.75" customHeight="1">
      <c r="A19" s="40"/>
      <c r="B19" s="141"/>
      <c r="J19" s="47"/>
      <c r="K19" s="84"/>
      <c r="L19" s="85" t="b">
        <v>0</v>
      </c>
      <c r="M19" s="86"/>
      <c r="N19" s="142"/>
      <c r="O19" s="88"/>
      <c r="P19" s="40"/>
    </row>
    <row r="20" ht="15.75" customHeight="1">
      <c r="A20" s="40"/>
      <c r="B20" s="141"/>
      <c r="J20" s="47"/>
      <c r="K20" s="84"/>
      <c r="L20" s="143" t="b">
        <v>0</v>
      </c>
      <c r="M20" s="86"/>
      <c r="N20" s="142"/>
      <c r="O20" s="144"/>
      <c r="P20" s="40"/>
    </row>
    <row r="21" ht="15.75" customHeight="1">
      <c r="A21" s="40"/>
      <c r="B21" s="141"/>
      <c r="J21" s="47"/>
      <c r="K21" s="145"/>
      <c r="L21" s="143" t="b">
        <v>0</v>
      </c>
      <c r="M21" s="146"/>
      <c r="N21" s="142"/>
      <c r="O21" s="144"/>
      <c r="P21" s="40"/>
    </row>
    <row r="22" ht="15.75" customHeight="1">
      <c r="A22" s="40"/>
      <c r="B22" s="141"/>
      <c r="J22" s="47"/>
      <c r="K22" s="145"/>
      <c r="L22" s="85" t="b">
        <v>0</v>
      </c>
      <c r="M22" s="146"/>
      <c r="N22" s="142"/>
      <c r="O22" s="144"/>
      <c r="P22" s="40"/>
    </row>
    <row r="23" ht="15.75" customHeight="1">
      <c r="A23" s="40"/>
      <c r="B23" s="89"/>
      <c r="C23" s="16"/>
      <c r="D23" s="16"/>
      <c r="E23" s="16"/>
      <c r="F23" s="16"/>
      <c r="G23" s="16"/>
      <c r="H23" s="16"/>
      <c r="I23" s="16"/>
      <c r="J23" s="90"/>
      <c r="K23" s="91"/>
      <c r="L23" s="92" t="b">
        <v>0</v>
      </c>
      <c r="M23" s="93"/>
      <c r="N23" s="94"/>
      <c r="O23" s="95"/>
      <c r="P23" s="40"/>
    </row>
    <row r="24" ht="15.75" customHeight="1">
      <c r="A24" s="40"/>
      <c r="B24" s="96"/>
      <c r="C24" s="1"/>
      <c r="D24" s="1"/>
      <c r="E24" s="1"/>
      <c r="F24" s="1"/>
      <c r="G24" s="1"/>
      <c r="H24" s="1"/>
      <c r="I24" s="1"/>
      <c r="J24" s="101" t="s">
        <v>87</v>
      </c>
      <c r="K24" s="102"/>
      <c r="L24" s="1"/>
      <c r="M24" s="1"/>
      <c r="N24" s="97"/>
      <c r="O24" s="97"/>
      <c r="P24" s="40"/>
    </row>
    <row r="25" ht="15.75" customHeight="1">
      <c r="A25" s="40"/>
      <c r="B25" s="96"/>
      <c r="C25" s="100"/>
      <c r="D25" s="100"/>
      <c r="E25" s="100"/>
      <c r="F25" s="100"/>
      <c r="G25" s="100"/>
      <c r="H25" s="100"/>
      <c r="I25" s="100"/>
      <c r="J25" s="108" t="s">
        <v>63</v>
      </c>
      <c r="K25" s="109"/>
      <c r="L25" s="110"/>
      <c r="M25" s="111" t="s">
        <v>64</v>
      </c>
      <c r="N25" s="109"/>
      <c r="O25" s="102"/>
      <c r="P25" s="40"/>
    </row>
    <row r="26" ht="15.75" customHeight="1">
      <c r="A26" s="40"/>
      <c r="B26" s="19" t="s">
        <v>88</v>
      </c>
      <c r="C26" s="100"/>
      <c r="D26" s="100"/>
      <c r="E26" s="100"/>
      <c r="F26" s="100"/>
      <c r="G26" s="100"/>
      <c r="H26" s="100"/>
      <c r="I26" s="100"/>
      <c r="J26" s="117" t="str">
        <f t="array" ref="J26">GPA({K18:K23,M18:M23,O18:O23},1,2)</f>
        <v>Loading...</v>
      </c>
      <c r="K26" s="118"/>
      <c r="L26" s="110"/>
      <c r="M26" s="119" t="str">
        <f t="array" ref="M26">CREDITSSUM({K18:K23,M18:M23},1,2)</f>
        <v>Loading...</v>
      </c>
      <c r="N26" s="118"/>
      <c r="O26" s="120"/>
      <c r="P26" s="40"/>
    </row>
    <row r="27" ht="31.5" customHeight="1">
      <c r="A27" s="40"/>
      <c r="B27" s="76" t="s">
        <v>53</v>
      </c>
      <c r="C27" s="8"/>
      <c r="D27" s="8"/>
      <c r="E27" s="8"/>
      <c r="F27" s="8"/>
      <c r="G27" s="8"/>
      <c r="H27" s="8"/>
      <c r="I27" s="8"/>
      <c r="J27" s="77"/>
      <c r="K27" s="78" t="s">
        <v>54</v>
      </c>
      <c r="L27" s="79" t="s">
        <v>55</v>
      </c>
      <c r="M27" s="80" t="s">
        <v>56</v>
      </c>
      <c r="N27" s="81"/>
      <c r="O27" s="82" t="s">
        <v>57</v>
      </c>
      <c r="P27" s="1"/>
    </row>
    <row r="28" ht="15.75" customHeight="1">
      <c r="A28" s="40"/>
      <c r="B28" s="83"/>
      <c r="J28" s="47"/>
      <c r="K28" s="84"/>
      <c r="L28" s="85"/>
      <c r="M28" s="86"/>
      <c r="N28" s="87"/>
      <c r="O28" s="88"/>
      <c r="P28" s="1"/>
    </row>
    <row r="29" ht="15.75" customHeight="1">
      <c r="A29" s="40"/>
      <c r="B29" s="141"/>
      <c r="J29" s="47"/>
      <c r="K29" s="84"/>
      <c r="L29" s="85" t="b">
        <v>0</v>
      </c>
      <c r="M29" s="86"/>
      <c r="N29" s="142"/>
      <c r="O29" s="88"/>
      <c r="P29" s="40"/>
    </row>
    <row r="30" ht="15.75" customHeight="1">
      <c r="A30" s="40"/>
      <c r="B30" s="141"/>
      <c r="J30" s="47"/>
      <c r="K30" s="84"/>
      <c r="L30" s="143" t="b">
        <v>0</v>
      </c>
      <c r="M30" s="86"/>
      <c r="N30" s="142"/>
      <c r="O30" s="144"/>
      <c r="P30" s="40"/>
    </row>
    <row r="31" ht="15.75" customHeight="1">
      <c r="A31" s="40"/>
      <c r="B31" s="141"/>
      <c r="J31" s="47"/>
      <c r="K31" s="145"/>
      <c r="L31" s="143" t="b">
        <v>0</v>
      </c>
      <c r="M31" s="146"/>
      <c r="N31" s="142"/>
      <c r="O31" s="144"/>
      <c r="P31" s="40"/>
    </row>
    <row r="32" ht="15.75" customHeight="1">
      <c r="A32" s="40"/>
      <c r="B32" s="141"/>
      <c r="J32" s="47"/>
      <c r="K32" s="145"/>
      <c r="L32" s="85" t="b">
        <v>0</v>
      </c>
      <c r="M32" s="146"/>
      <c r="N32" s="142"/>
      <c r="O32" s="144"/>
      <c r="P32" s="40"/>
    </row>
    <row r="33" ht="15.75" customHeight="1">
      <c r="A33" s="40"/>
      <c r="B33" s="89"/>
      <c r="C33" s="16"/>
      <c r="D33" s="16"/>
      <c r="E33" s="16"/>
      <c r="F33" s="16"/>
      <c r="G33" s="16"/>
      <c r="H33" s="16"/>
      <c r="I33" s="16"/>
      <c r="J33" s="90"/>
      <c r="K33" s="91"/>
      <c r="L33" s="92" t="b">
        <v>0</v>
      </c>
      <c r="M33" s="93"/>
      <c r="N33" s="94"/>
      <c r="O33" s="95"/>
      <c r="P33" s="40"/>
    </row>
    <row r="34" ht="15.75" customHeight="1">
      <c r="A34" s="40"/>
      <c r="B34" s="96"/>
      <c r="C34" s="1"/>
      <c r="D34" s="1"/>
      <c r="E34" s="1"/>
      <c r="F34" s="1"/>
      <c r="G34" s="1"/>
      <c r="H34" s="1"/>
      <c r="I34" s="1"/>
      <c r="J34" s="101" t="s">
        <v>89</v>
      </c>
      <c r="K34" s="102"/>
      <c r="L34" s="1"/>
      <c r="M34" s="1"/>
      <c r="N34" s="97"/>
      <c r="O34" s="97"/>
      <c r="P34" s="40"/>
    </row>
    <row r="35" ht="15.75" customHeight="1">
      <c r="A35" s="40"/>
      <c r="B35" s="96"/>
      <c r="C35" s="100"/>
      <c r="D35" s="100"/>
      <c r="E35" s="100"/>
      <c r="F35" s="100"/>
      <c r="G35" s="100"/>
      <c r="H35" s="100"/>
      <c r="I35" s="100"/>
      <c r="J35" s="108" t="s">
        <v>63</v>
      </c>
      <c r="K35" s="109"/>
      <c r="L35" s="110"/>
      <c r="M35" s="111" t="s">
        <v>64</v>
      </c>
      <c r="N35" s="109"/>
      <c r="O35" s="102"/>
      <c r="P35" s="40"/>
    </row>
    <row r="36" ht="15.75" customHeight="1">
      <c r="A36" s="40"/>
      <c r="B36" s="19" t="s">
        <v>88</v>
      </c>
      <c r="C36" s="100"/>
      <c r="D36" s="100"/>
      <c r="E36" s="100"/>
      <c r="F36" s="100"/>
      <c r="G36" s="100"/>
      <c r="H36" s="100"/>
      <c r="I36" s="100"/>
      <c r="J36" s="117" t="str">
        <f t="array" ref="J36">GPA({K28:K33,M28:M33,O28:O33},1,2)</f>
        <v>Loading...</v>
      </c>
      <c r="K36" s="118"/>
      <c r="L36" s="110"/>
      <c r="M36" s="119" t="str">
        <f t="array" ref="M36">CREDITSSUM({K28:K33,M28:M33},1,2)</f>
        <v>Loading...</v>
      </c>
      <c r="N36" s="118"/>
      <c r="O36" s="120"/>
      <c r="P36" s="40"/>
    </row>
    <row r="37" ht="31.5" customHeight="1">
      <c r="A37" s="40"/>
      <c r="B37" s="76" t="s">
        <v>53</v>
      </c>
      <c r="C37" s="8"/>
      <c r="D37" s="8"/>
      <c r="E37" s="8"/>
      <c r="F37" s="8"/>
      <c r="G37" s="8"/>
      <c r="H37" s="8"/>
      <c r="I37" s="8"/>
      <c r="J37" s="77"/>
      <c r="K37" s="78" t="s">
        <v>54</v>
      </c>
      <c r="L37" s="79" t="s">
        <v>55</v>
      </c>
      <c r="M37" s="80" t="s">
        <v>56</v>
      </c>
      <c r="N37" s="81"/>
      <c r="O37" s="82" t="s">
        <v>57</v>
      </c>
      <c r="P37" s="1"/>
    </row>
    <row r="38" ht="15.75" customHeight="1">
      <c r="A38" s="40"/>
      <c r="B38" s="83"/>
      <c r="J38" s="47"/>
      <c r="K38" s="84"/>
      <c r="L38" s="85"/>
      <c r="M38" s="86"/>
      <c r="N38" s="87"/>
      <c r="O38" s="88"/>
      <c r="P38" s="1"/>
    </row>
    <row r="39" ht="15.75" customHeight="1">
      <c r="A39" s="40"/>
      <c r="B39" s="141"/>
      <c r="J39" s="47"/>
      <c r="K39" s="84"/>
      <c r="L39" s="85" t="b">
        <v>0</v>
      </c>
      <c r="M39" s="86"/>
      <c r="N39" s="142"/>
      <c r="O39" s="88"/>
      <c r="P39" s="40"/>
    </row>
    <row r="40" ht="15.75" customHeight="1">
      <c r="A40" s="40"/>
      <c r="B40" s="141"/>
      <c r="J40" s="47"/>
      <c r="K40" s="84"/>
      <c r="L40" s="143" t="b">
        <v>0</v>
      </c>
      <c r="M40" s="86"/>
      <c r="N40" s="142"/>
      <c r="O40" s="144"/>
      <c r="P40" s="40"/>
    </row>
    <row r="41" ht="15.75" customHeight="1">
      <c r="A41" s="40"/>
      <c r="B41" s="141"/>
      <c r="J41" s="47"/>
      <c r="K41" s="145"/>
      <c r="L41" s="143" t="b">
        <v>0</v>
      </c>
      <c r="M41" s="146"/>
      <c r="N41" s="142"/>
      <c r="O41" s="144"/>
      <c r="P41" s="40"/>
    </row>
    <row r="42" ht="15.75" customHeight="1">
      <c r="A42" s="40"/>
      <c r="B42" s="141"/>
      <c r="J42" s="47"/>
      <c r="K42" s="145"/>
      <c r="L42" s="85" t="b">
        <v>0</v>
      </c>
      <c r="M42" s="146"/>
      <c r="N42" s="142"/>
      <c r="O42" s="144"/>
      <c r="P42" s="40"/>
    </row>
    <row r="43" ht="15.75" customHeight="1">
      <c r="A43" s="40"/>
      <c r="B43" s="89"/>
      <c r="C43" s="16"/>
      <c r="D43" s="16"/>
      <c r="E43" s="16"/>
      <c r="F43" s="16"/>
      <c r="G43" s="16"/>
      <c r="H43" s="16"/>
      <c r="I43" s="16"/>
      <c r="J43" s="90"/>
      <c r="K43" s="91"/>
      <c r="L43" s="92" t="b">
        <v>0</v>
      </c>
      <c r="M43" s="93"/>
      <c r="N43" s="94"/>
      <c r="O43" s="95"/>
      <c r="P43" s="40"/>
    </row>
    <row r="44" ht="15.75" customHeight="1">
      <c r="A44" s="40"/>
      <c r="B44" s="96"/>
      <c r="C44" s="1"/>
      <c r="D44" s="1"/>
      <c r="E44" s="1"/>
      <c r="F44" s="1"/>
      <c r="G44" s="1"/>
      <c r="H44" s="1"/>
      <c r="I44" s="1"/>
      <c r="J44" s="101" t="s">
        <v>89</v>
      </c>
      <c r="K44" s="102"/>
      <c r="L44" s="1"/>
      <c r="M44" s="1"/>
      <c r="N44" s="97"/>
      <c r="O44" s="97"/>
      <c r="P44" s="40"/>
    </row>
    <row r="45" ht="15.75" customHeight="1">
      <c r="A45" s="40"/>
      <c r="B45" s="98" t="s">
        <v>58</v>
      </c>
      <c r="C45" s="99"/>
      <c r="D45" s="99"/>
      <c r="E45" s="99"/>
      <c r="F45" s="99"/>
      <c r="G45" s="99"/>
      <c r="H45" s="99"/>
      <c r="I45" s="100"/>
      <c r="J45" s="108" t="s">
        <v>63</v>
      </c>
      <c r="K45" s="109"/>
      <c r="L45" s="110"/>
      <c r="M45" s="111" t="s">
        <v>64</v>
      </c>
      <c r="N45" s="109"/>
      <c r="O45" s="102"/>
      <c r="P45" s="40"/>
    </row>
    <row r="46" ht="15.75" customHeight="1">
      <c r="A46" s="40"/>
      <c r="B46" s="103" t="s">
        <v>60</v>
      </c>
      <c r="C46" s="104" t="s">
        <v>61</v>
      </c>
      <c r="D46" s="105"/>
      <c r="E46" s="106"/>
      <c r="F46" s="104" t="s">
        <v>62</v>
      </c>
      <c r="G46" s="105"/>
      <c r="H46" s="107"/>
      <c r="I46" s="100"/>
      <c r="J46" s="117" t="str">
        <f t="array" ref="J46">GPA({K38:K43,M38:M43,O38:O43},1,2)</f>
        <v>Loading...</v>
      </c>
      <c r="K46" s="118"/>
      <c r="L46" s="110"/>
      <c r="M46" s="119" t="str">
        <f t="array" ref="M46">CREDITSSUM({K38:K43,M38:M43},1,2)</f>
        <v>Loading...</v>
      </c>
      <c r="N46" s="118"/>
      <c r="O46" s="120"/>
      <c r="P46" s="40"/>
    </row>
    <row r="47" ht="15.75" customHeight="1">
      <c r="A47" s="40"/>
      <c r="B47" s="112"/>
      <c r="C47" s="113" t="s">
        <v>65</v>
      </c>
      <c r="D47" s="114" t="s">
        <v>66</v>
      </c>
      <c r="E47" s="115" t="s">
        <v>67</v>
      </c>
      <c r="F47" s="113" t="s">
        <v>65</v>
      </c>
      <c r="G47" s="114" t="s">
        <v>66</v>
      </c>
      <c r="H47" s="116" t="s">
        <v>67</v>
      </c>
      <c r="I47" s="110"/>
      <c r="J47" s="1"/>
      <c r="K47" s="1"/>
      <c r="L47" s="1"/>
      <c r="M47" s="1"/>
      <c r="N47" s="1"/>
      <c r="O47" s="1"/>
      <c r="P47" s="40"/>
    </row>
    <row r="48" ht="15.75" customHeight="1">
      <c r="A48" s="40"/>
      <c r="B48" s="132" t="s">
        <v>68</v>
      </c>
      <c r="C48" s="122"/>
      <c r="D48" s="84"/>
      <c r="E48" s="123"/>
      <c r="F48" s="86"/>
      <c r="G48" s="84"/>
      <c r="H48" s="124"/>
      <c r="I48" s="110"/>
      <c r="J48" s="101" t="s">
        <v>59</v>
      </c>
      <c r="K48" s="102"/>
      <c r="L48" s="1"/>
      <c r="M48" s="1"/>
      <c r="N48" s="97"/>
      <c r="O48" s="97"/>
      <c r="P48" s="40"/>
    </row>
    <row r="49" ht="15.75" customHeight="1">
      <c r="A49" s="40"/>
      <c r="B49" s="132" t="s">
        <v>69</v>
      </c>
      <c r="C49" s="122"/>
      <c r="D49" s="84"/>
      <c r="E49" s="123"/>
      <c r="F49" s="86"/>
      <c r="G49" s="84"/>
      <c r="H49" s="124"/>
      <c r="I49" s="110"/>
      <c r="J49" s="108" t="s">
        <v>63</v>
      </c>
      <c r="K49" s="109"/>
      <c r="L49" s="110"/>
      <c r="M49" s="111" t="s">
        <v>64</v>
      </c>
      <c r="N49" s="109"/>
      <c r="O49" s="102"/>
      <c r="P49" s="40"/>
    </row>
    <row r="50" ht="15.75" customHeight="1">
      <c r="A50" s="40"/>
      <c r="B50" s="121" t="s">
        <v>70</v>
      </c>
      <c r="C50" s="122"/>
      <c r="D50" s="84"/>
      <c r="E50" s="123"/>
      <c r="F50" s="86"/>
      <c r="G50" s="84"/>
      <c r="H50" s="124"/>
      <c r="I50" s="110"/>
      <c r="J50" s="117" t="str">
        <f t="array" ref="J50">GPA({K8:K13,M8:M13,O8:O13;K18:K23,M18:M23,O18:O23;K28:K33,M28:M33,O28:O33;K38:K43,M38:M43,O38:O43},1,2)</f>
        <v>Loading...</v>
      </c>
      <c r="K50" s="118"/>
      <c r="L50" s="110"/>
      <c r="M50" s="119" t="str">
        <f t="array" ref="M50">CREDITSSUM({K8:K13,M8:M13;K18:K23,M18:M23;K28:K33,M28:M33;K38:K43,M38:M43},1,2)</f>
        <v>Loading...</v>
      </c>
      <c r="N50" s="118"/>
      <c r="O50" s="120"/>
      <c r="P50" s="40"/>
    </row>
    <row r="51" ht="15.75" customHeight="1">
      <c r="A51" s="40"/>
      <c r="B51" s="125" t="s">
        <v>71</v>
      </c>
      <c r="C51" s="126"/>
      <c r="D51" s="127"/>
      <c r="E51" s="128"/>
      <c r="F51" s="129"/>
      <c r="G51" s="127"/>
      <c r="H51" s="130"/>
      <c r="I51" s="97"/>
      <c r="J51" s="97"/>
      <c r="K51" s="97"/>
      <c r="L51" s="131"/>
      <c r="M51" s="97"/>
      <c r="N51" s="97"/>
      <c r="O51" s="97"/>
      <c r="P51" s="40"/>
    </row>
    <row r="52" ht="15.75" customHeight="1">
      <c r="A52" s="40"/>
      <c r="B52" s="96"/>
      <c r="C52" s="97"/>
      <c r="D52" s="97"/>
      <c r="E52" s="97"/>
      <c r="F52" s="97"/>
      <c r="G52" s="97"/>
      <c r="H52" s="97"/>
      <c r="I52" s="97"/>
      <c r="J52" s="97"/>
      <c r="K52" s="97"/>
      <c r="L52" s="131"/>
      <c r="M52" s="97"/>
      <c r="N52" s="97"/>
      <c r="O52" s="97"/>
      <c r="P52" s="40"/>
    </row>
    <row r="53" ht="15.75" customHeight="1">
      <c r="A53" s="40"/>
      <c r="B53" s="96"/>
      <c r="C53" s="97"/>
      <c r="D53" s="97"/>
      <c r="E53" s="97"/>
      <c r="F53" s="97"/>
      <c r="G53" s="97"/>
      <c r="H53" s="97"/>
      <c r="I53" s="97"/>
      <c r="J53" s="97"/>
      <c r="K53" s="97"/>
      <c r="L53" s="131"/>
      <c r="M53" s="97"/>
      <c r="N53" s="97"/>
      <c r="O53" s="97"/>
      <c r="P53" s="40"/>
    </row>
  </sheetData>
  <mergeCells count="74">
    <mergeCell ref="B27:J27"/>
    <mergeCell ref="B28:J28"/>
    <mergeCell ref="B29:J29"/>
    <mergeCell ref="B30:J30"/>
    <mergeCell ref="B31:J31"/>
    <mergeCell ref="B32:J32"/>
    <mergeCell ref="B33:J33"/>
    <mergeCell ref="J44:K44"/>
    <mergeCell ref="J45:K45"/>
    <mergeCell ref="M45:O45"/>
    <mergeCell ref="M46:O46"/>
    <mergeCell ref="B37:J37"/>
    <mergeCell ref="B38:J38"/>
    <mergeCell ref="B39:J39"/>
    <mergeCell ref="B40:J40"/>
    <mergeCell ref="B41:J41"/>
    <mergeCell ref="B42:J42"/>
    <mergeCell ref="B43:J43"/>
    <mergeCell ref="M49:O49"/>
    <mergeCell ref="M50:O50"/>
    <mergeCell ref="B46:B47"/>
    <mergeCell ref="C46:E46"/>
    <mergeCell ref="F46:H46"/>
    <mergeCell ref="J46:K46"/>
    <mergeCell ref="J48:K48"/>
    <mergeCell ref="J49:K49"/>
    <mergeCell ref="J50:K50"/>
    <mergeCell ref="C1:H1"/>
    <mergeCell ref="I1:O1"/>
    <mergeCell ref="C2:E2"/>
    <mergeCell ref="F2:H2"/>
    <mergeCell ref="I2:J2"/>
    <mergeCell ref="K2:O2"/>
    <mergeCell ref="C3:E3"/>
    <mergeCell ref="K3:O3"/>
    <mergeCell ref="F3:H3"/>
    <mergeCell ref="I3:J3"/>
    <mergeCell ref="C4:E4"/>
    <mergeCell ref="F4:H4"/>
    <mergeCell ref="I4:J4"/>
    <mergeCell ref="K4:O4"/>
    <mergeCell ref="C5:E6"/>
    <mergeCell ref="K5:O6"/>
    <mergeCell ref="F5:H6"/>
    <mergeCell ref="I5:J6"/>
    <mergeCell ref="B7:J7"/>
    <mergeCell ref="B8:J8"/>
    <mergeCell ref="B9:J9"/>
    <mergeCell ref="B10:J10"/>
    <mergeCell ref="B11:J11"/>
    <mergeCell ref="B12:J12"/>
    <mergeCell ref="B13:J13"/>
    <mergeCell ref="J14:K14"/>
    <mergeCell ref="J15:K15"/>
    <mergeCell ref="M15:O15"/>
    <mergeCell ref="J16:K16"/>
    <mergeCell ref="M16:O16"/>
    <mergeCell ref="J24:K24"/>
    <mergeCell ref="J25:K25"/>
    <mergeCell ref="M25:O25"/>
    <mergeCell ref="J26:K26"/>
    <mergeCell ref="M26:O26"/>
    <mergeCell ref="B17:J17"/>
    <mergeCell ref="B18:J18"/>
    <mergeCell ref="B19:J19"/>
    <mergeCell ref="B20:J20"/>
    <mergeCell ref="B21:J21"/>
    <mergeCell ref="B22:J22"/>
    <mergeCell ref="B23:J23"/>
    <mergeCell ref="J34:K34"/>
    <mergeCell ref="J35:K35"/>
    <mergeCell ref="M35:O35"/>
    <mergeCell ref="J36:K36"/>
    <mergeCell ref="M36:O36"/>
  </mergeCells>
  <dataValidations>
    <dataValidation type="custom" allowBlank="1" showDropDown="1" showInputMessage="1" showErrorMessage="1" prompt="Enter a number" sqref="K8:K12 O8:O13 K18:K22 O18:O23 K28:K32 O28:O33 K38:K42 O38:O43">
      <formula1>ISNUMBER(K8)</formula1>
    </dataValidation>
    <dataValidation type="list" allowBlank="1" showInputMessage="1" showErrorMessage="1" prompt="Click and enter a valid scale from the list of items. The valid scales are Letter, 0-100, 0-4, and None" sqref="B3">
      <formula1>"Letter,0-4,0-100,None"</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8.88"/>
    <col customWidth="1" min="3" max="8" width="6.38"/>
    <col customWidth="1" hidden="1" min="9" max="9" width="18.88"/>
    <col customWidth="1" min="10" max="10" width="18.88"/>
    <col customWidth="1" min="11" max="11" width="6.38"/>
    <col customWidth="1" hidden="1" min="12" max="12" width="18.88"/>
    <col customWidth="1" min="13" max="13" width="6.38"/>
    <col customWidth="1" hidden="1" min="14" max="14" width="6.38"/>
    <col customWidth="1" min="15" max="15" width="6.38"/>
  </cols>
  <sheetData>
    <row r="1" ht="31.5" customHeight="1">
      <c r="A1" s="58"/>
      <c r="B1" s="1"/>
      <c r="C1" s="71" t="s">
        <v>5</v>
      </c>
      <c r="I1" s="58" t="s">
        <v>6</v>
      </c>
      <c r="P1" s="72"/>
    </row>
    <row r="2" ht="15.75" customHeight="1">
      <c r="A2" s="73"/>
      <c r="B2" s="74" t="s">
        <v>50</v>
      </c>
      <c r="C2" s="59" t="s">
        <v>8</v>
      </c>
      <c r="F2" s="60" t="str">
        <f>'Getting Started'!$G$10</f>
        <v/>
      </c>
      <c r="I2" s="59" t="s">
        <v>9</v>
      </c>
      <c r="K2" s="60" t="str">
        <f>'Getting Started'!$I$10</f>
        <v/>
      </c>
      <c r="P2" s="40"/>
    </row>
    <row r="3" ht="15.75" customHeight="1">
      <c r="A3" s="73"/>
      <c r="B3" s="75" t="s">
        <v>51</v>
      </c>
      <c r="C3" s="59" t="s">
        <v>11</v>
      </c>
      <c r="F3" s="61" t="str">
        <f>'Getting Started'!$G$11</f>
        <v/>
      </c>
      <c r="I3" s="59" t="s">
        <v>12</v>
      </c>
      <c r="K3" s="60" t="str">
        <f>'Getting Started'!$I$11</f>
        <v/>
      </c>
      <c r="P3" s="40"/>
    </row>
    <row r="4" ht="31.5" customHeight="1">
      <c r="A4" s="73"/>
      <c r="B4" s="1"/>
      <c r="C4" s="59" t="s">
        <v>13</v>
      </c>
      <c r="F4" s="60" t="str">
        <f>'Getting Started'!$G$12</f>
        <v/>
      </c>
      <c r="I4" s="59" t="s">
        <v>14</v>
      </c>
      <c r="K4" s="60" t="str">
        <f>'Getting Started'!$I$12</f>
        <v/>
      </c>
      <c r="P4" s="40"/>
    </row>
    <row r="5" ht="15.75" customHeight="1">
      <c r="A5" s="73"/>
      <c r="B5" s="1"/>
      <c r="C5" s="59" t="s">
        <v>15</v>
      </c>
      <c r="F5" s="62" t="str">
        <f>'Getting Started'!$G$14</f>
        <v/>
      </c>
      <c r="I5" s="59" t="s">
        <v>16</v>
      </c>
      <c r="K5" s="60" t="str">
        <f>'Getting Started'!$I$14</f>
        <v/>
      </c>
      <c r="P5" s="40"/>
    </row>
    <row r="6" ht="15.75" customHeight="1">
      <c r="A6" s="73"/>
      <c r="B6" s="19" t="s">
        <v>84</v>
      </c>
      <c r="P6" s="40"/>
    </row>
    <row r="7" ht="31.5" customHeight="1">
      <c r="A7" s="40"/>
      <c r="B7" s="76" t="s">
        <v>53</v>
      </c>
      <c r="C7" s="8"/>
      <c r="D7" s="8"/>
      <c r="E7" s="8"/>
      <c r="F7" s="8"/>
      <c r="G7" s="8"/>
      <c r="H7" s="8"/>
      <c r="I7" s="8"/>
      <c r="J7" s="77"/>
      <c r="K7" s="78" t="s">
        <v>54</v>
      </c>
      <c r="L7" s="79" t="s">
        <v>55</v>
      </c>
      <c r="M7" s="80" t="s">
        <v>56</v>
      </c>
      <c r="N7" s="81"/>
      <c r="O7" s="82" t="s">
        <v>57</v>
      </c>
      <c r="P7" s="1"/>
    </row>
    <row r="8" ht="15.75" customHeight="1">
      <c r="A8" s="40"/>
      <c r="B8" s="83"/>
      <c r="J8" s="47"/>
      <c r="K8" s="84"/>
      <c r="L8" s="85"/>
      <c r="M8" s="86"/>
      <c r="N8" s="87"/>
      <c r="O8" s="88"/>
      <c r="P8" s="1"/>
    </row>
    <row r="9" ht="15.75" customHeight="1">
      <c r="A9" s="40"/>
      <c r="B9" s="141"/>
      <c r="J9" s="47"/>
      <c r="K9" s="84"/>
      <c r="L9" s="85" t="b">
        <v>0</v>
      </c>
      <c r="M9" s="86"/>
      <c r="N9" s="142"/>
      <c r="O9" s="88"/>
      <c r="P9" s="40"/>
    </row>
    <row r="10" ht="15.75" customHeight="1">
      <c r="A10" s="40"/>
      <c r="B10" s="141"/>
      <c r="J10" s="47"/>
      <c r="K10" s="84"/>
      <c r="L10" s="143" t="b">
        <v>0</v>
      </c>
      <c r="M10" s="86"/>
      <c r="N10" s="142"/>
      <c r="O10" s="144"/>
      <c r="P10" s="40"/>
    </row>
    <row r="11" ht="15.75" customHeight="1">
      <c r="A11" s="40"/>
      <c r="B11" s="141"/>
      <c r="J11" s="47"/>
      <c r="K11" s="145"/>
      <c r="L11" s="85" t="b">
        <v>0</v>
      </c>
      <c r="M11" s="146"/>
      <c r="N11" s="142"/>
      <c r="O11" s="144"/>
      <c r="P11" s="40"/>
    </row>
    <row r="12" ht="15.75" customHeight="1">
      <c r="A12" s="40"/>
      <c r="B12" s="141"/>
      <c r="J12" s="47"/>
      <c r="K12" s="145"/>
      <c r="L12" s="85" t="b">
        <v>0</v>
      </c>
      <c r="M12" s="146"/>
      <c r="N12" s="142"/>
      <c r="O12" s="144"/>
      <c r="P12" s="40"/>
    </row>
    <row r="13" ht="15.75" customHeight="1">
      <c r="A13" s="40"/>
      <c r="B13" s="89"/>
      <c r="C13" s="16"/>
      <c r="D13" s="16"/>
      <c r="E13" s="16"/>
      <c r="F13" s="16"/>
      <c r="G13" s="16"/>
      <c r="H13" s="16"/>
      <c r="I13" s="16"/>
      <c r="J13" s="90"/>
      <c r="K13" s="91"/>
      <c r="L13" s="92" t="b">
        <v>0</v>
      </c>
      <c r="M13" s="93"/>
      <c r="N13" s="94"/>
      <c r="O13" s="95"/>
      <c r="P13" s="40"/>
    </row>
    <row r="14" ht="15.75" customHeight="1">
      <c r="A14" s="40"/>
      <c r="B14" s="96"/>
      <c r="C14" s="1"/>
      <c r="D14" s="1"/>
      <c r="E14" s="1"/>
      <c r="F14" s="1"/>
      <c r="G14" s="1"/>
      <c r="H14" s="1"/>
      <c r="I14" s="1"/>
      <c r="J14" s="101" t="s">
        <v>85</v>
      </c>
      <c r="K14" s="102"/>
      <c r="L14" s="1"/>
      <c r="M14" s="1"/>
      <c r="N14" s="97"/>
      <c r="O14" s="97"/>
      <c r="P14" s="40"/>
    </row>
    <row r="15" ht="15.75" customHeight="1">
      <c r="A15" s="40"/>
      <c r="B15" s="96"/>
      <c r="C15" s="100"/>
      <c r="D15" s="100"/>
      <c r="E15" s="100"/>
      <c r="F15" s="100"/>
      <c r="G15" s="100"/>
      <c r="H15" s="100"/>
      <c r="I15" s="100"/>
      <c r="J15" s="108" t="s">
        <v>63</v>
      </c>
      <c r="K15" s="109"/>
      <c r="L15" s="110"/>
      <c r="M15" s="111" t="s">
        <v>64</v>
      </c>
      <c r="N15" s="109"/>
      <c r="O15" s="102"/>
      <c r="P15" s="40"/>
    </row>
    <row r="16" ht="15.75" customHeight="1">
      <c r="A16" s="40"/>
      <c r="B16" s="19" t="s">
        <v>86</v>
      </c>
      <c r="C16" s="100"/>
      <c r="D16" s="100"/>
      <c r="E16" s="100"/>
      <c r="F16" s="100"/>
      <c r="G16" s="100"/>
      <c r="H16" s="100"/>
      <c r="I16" s="100"/>
      <c r="J16" s="117" t="str">
        <f t="array" ref="J16">GPA({K8:K13,M8:M13,O8:O13},1,2)</f>
        <v>Loading...</v>
      </c>
      <c r="K16" s="118"/>
      <c r="L16" s="110"/>
      <c r="M16" s="119" t="str">
        <f t="array" ref="M16">CREDITSSUM({K8:K13,M8:M13},1,2)</f>
        <v>Loading...</v>
      </c>
      <c r="N16" s="118"/>
      <c r="O16" s="120"/>
      <c r="P16" s="40"/>
    </row>
    <row r="17" ht="31.5" customHeight="1">
      <c r="A17" s="40"/>
      <c r="B17" s="76" t="s">
        <v>53</v>
      </c>
      <c r="C17" s="8"/>
      <c r="D17" s="8"/>
      <c r="E17" s="8"/>
      <c r="F17" s="8"/>
      <c r="G17" s="8"/>
      <c r="H17" s="8"/>
      <c r="I17" s="8"/>
      <c r="J17" s="77"/>
      <c r="K17" s="78" t="s">
        <v>54</v>
      </c>
      <c r="L17" s="79" t="s">
        <v>55</v>
      </c>
      <c r="M17" s="80" t="s">
        <v>56</v>
      </c>
      <c r="N17" s="81"/>
      <c r="O17" s="82" t="s">
        <v>57</v>
      </c>
      <c r="P17" s="1"/>
    </row>
    <row r="18" ht="15.75" customHeight="1">
      <c r="A18" s="40"/>
      <c r="B18" s="83"/>
      <c r="J18" s="47"/>
      <c r="K18" s="84"/>
      <c r="L18" s="85"/>
      <c r="M18" s="86"/>
      <c r="N18" s="87"/>
      <c r="O18" s="88"/>
      <c r="P18" s="1"/>
    </row>
    <row r="19" ht="15.75" customHeight="1">
      <c r="A19" s="40"/>
      <c r="B19" s="141"/>
      <c r="J19" s="47"/>
      <c r="K19" s="84"/>
      <c r="L19" s="85" t="b">
        <v>0</v>
      </c>
      <c r="M19" s="86"/>
      <c r="N19" s="142"/>
      <c r="O19" s="88"/>
      <c r="P19" s="40"/>
    </row>
    <row r="20" ht="15.75" customHeight="1">
      <c r="A20" s="40"/>
      <c r="B20" s="141"/>
      <c r="J20" s="47"/>
      <c r="K20" s="84"/>
      <c r="L20" s="143" t="b">
        <v>0</v>
      </c>
      <c r="M20" s="86"/>
      <c r="N20" s="142"/>
      <c r="O20" s="144"/>
      <c r="P20" s="40"/>
    </row>
    <row r="21" ht="15.75" customHeight="1">
      <c r="A21" s="40"/>
      <c r="B21" s="141"/>
      <c r="J21" s="47"/>
      <c r="K21" s="145"/>
      <c r="L21" s="143" t="b">
        <v>0</v>
      </c>
      <c r="M21" s="146"/>
      <c r="N21" s="142"/>
      <c r="O21" s="144"/>
      <c r="P21" s="40"/>
    </row>
    <row r="22" ht="15.75" customHeight="1">
      <c r="A22" s="40"/>
      <c r="B22" s="141"/>
      <c r="J22" s="47"/>
      <c r="K22" s="145"/>
      <c r="L22" s="85" t="b">
        <v>0</v>
      </c>
      <c r="M22" s="146"/>
      <c r="N22" s="142"/>
      <c r="O22" s="144"/>
      <c r="P22" s="40"/>
    </row>
    <row r="23" ht="15.75" customHeight="1">
      <c r="A23" s="40"/>
      <c r="B23" s="89"/>
      <c r="C23" s="16"/>
      <c r="D23" s="16"/>
      <c r="E23" s="16"/>
      <c r="F23" s="16"/>
      <c r="G23" s="16"/>
      <c r="H23" s="16"/>
      <c r="I23" s="16"/>
      <c r="J23" s="90"/>
      <c r="K23" s="91"/>
      <c r="L23" s="92" t="b">
        <v>0</v>
      </c>
      <c r="M23" s="93"/>
      <c r="N23" s="94"/>
      <c r="O23" s="95"/>
      <c r="P23" s="40"/>
    </row>
    <row r="24" ht="15.75" customHeight="1">
      <c r="A24" s="40"/>
      <c r="B24" s="96"/>
      <c r="C24" s="1"/>
      <c r="D24" s="1"/>
      <c r="E24" s="1"/>
      <c r="F24" s="1"/>
      <c r="G24" s="1"/>
      <c r="H24" s="1"/>
      <c r="I24" s="1"/>
      <c r="J24" s="101" t="s">
        <v>87</v>
      </c>
      <c r="K24" s="102"/>
      <c r="L24" s="1"/>
      <c r="M24" s="1"/>
      <c r="N24" s="97"/>
      <c r="O24" s="97"/>
      <c r="P24" s="40"/>
    </row>
    <row r="25" ht="15.75" customHeight="1">
      <c r="A25" s="40"/>
      <c r="B25" s="96"/>
      <c r="C25" s="100"/>
      <c r="D25" s="100"/>
      <c r="E25" s="100"/>
      <c r="F25" s="100"/>
      <c r="G25" s="100"/>
      <c r="H25" s="100"/>
      <c r="I25" s="100"/>
      <c r="J25" s="108" t="s">
        <v>63</v>
      </c>
      <c r="K25" s="109"/>
      <c r="L25" s="110"/>
      <c r="M25" s="111" t="s">
        <v>64</v>
      </c>
      <c r="N25" s="109"/>
      <c r="O25" s="102"/>
      <c r="P25" s="40"/>
    </row>
    <row r="26" ht="15.75" customHeight="1">
      <c r="A26" s="40"/>
      <c r="B26" s="19" t="s">
        <v>88</v>
      </c>
      <c r="C26" s="100"/>
      <c r="D26" s="100"/>
      <c r="E26" s="100"/>
      <c r="F26" s="100"/>
      <c r="G26" s="100"/>
      <c r="H26" s="100"/>
      <c r="I26" s="100"/>
      <c r="J26" s="117" t="str">
        <f t="array" ref="J26">GPA({K18:K23,M18:M23,O18:O23},1,2)</f>
        <v>Loading...</v>
      </c>
      <c r="K26" s="118"/>
      <c r="L26" s="110"/>
      <c r="M26" s="119" t="str">
        <f t="array" ref="M26">CREDITSSUM({K18:K23,M18:M23},1,2)</f>
        <v>Loading...</v>
      </c>
      <c r="N26" s="118"/>
      <c r="O26" s="120"/>
      <c r="P26" s="40"/>
    </row>
    <row r="27" ht="31.5" customHeight="1">
      <c r="A27" s="40"/>
      <c r="B27" s="76" t="s">
        <v>53</v>
      </c>
      <c r="C27" s="8"/>
      <c r="D27" s="8"/>
      <c r="E27" s="8"/>
      <c r="F27" s="8"/>
      <c r="G27" s="8"/>
      <c r="H27" s="8"/>
      <c r="I27" s="8"/>
      <c r="J27" s="77"/>
      <c r="K27" s="78" t="s">
        <v>54</v>
      </c>
      <c r="L27" s="79" t="s">
        <v>55</v>
      </c>
      <c r="M27" s="80" t="s">
        <v>56</v>
      </c>
      <c r="N27" s="81"/>
      <c r="O27" s="82" t="s">
        <v>57</v>
      </c>
      <c r="P27" s="1"/>
    </row>
    <row r="28" ht="15.75" customHeight="1">
      <c r="A28" s="40"/>
      <c r="B28" s="83"/>
      <c r="J28" s="47"/>
      <c r="K28" s="84"/>
      <c r="L28" s="85"/>
      <c r="M28" s="86"/>
      <c r="N28" s="87"/>
      <c r="O28" s="88"/>
      <c r="P28" s="1"/>
    </row>
    <row r="29" ht="15.75" customHeight="1">
      <c r="A29" s="40"/>
      <c r="B29" s="141"/>
      <c r="J29" s="47"/>
      <c r="K29" s="84"/>
      <c r="L29" s="85" t="b">
        <v>0</v>
      </c>
      <c r="M29" s="86"/>
      <c r="N29" s="142"/>
      <c r="O29" s="88"/>
      <c r="P29" s="40"/>
    </row>
    <row r="30" ht="15.75" customHeight="1">
      <c r="A30" s="40"/>
      <c r="B30" s="141"/>
      <c r="J30" s="47"/>
      <c r="K30" s="84"/>
      <c r="L30" s="143" t="b">
        <v>0</v>
      </c>
      <c r="M30" s="86"/>
      <c r="N30" s="142"/>
      <c r="O30" s="144"/>
      <c r="P30" s="40"/>
    </row>
    <row r="31" ht="15.75" customHeight="1">
      <c r="A31" s="40"/>
      <c r="B31" s="141"/>
      <c r="J31" s="47"/>
      <c r="K31" s="145"/>
      <c r="L31" s="143" t="b">
        <v>0</v>
      </c>
      <c r="M31" s="146"/>
      <c r="N31" s="142"/>
      <c r="O31" s="144"/>
      <c r="P31" s="40"/>
    </row>
    <row r="32" ht="15.75" customHeight="1">
      <c r="A32" s="40"/>
      <c r="B32" s="141"/>
      <c r="J32" s="47"/>
      <c r="K32" s="145"/>
      <c r="L32" s="85" t="b">
        <v>0</v>
      </c>
      <c r="M32" s="146"/>
      <c r="N32" s="142"/>
      <c r="O32" s="144"/>
      <c r="P32" s="40"/>
    </row>
    <row r="33" ht="15.75" customHeight="1">
      <c r="A33" s="40"/>
      <c r="B33" s="89"/>
      <c r="C33" s="16"/>
      <c r="D33" s="16"/>
      <c r="E33" s="16"/>
      <c r="F33" s="16"/>
      <c r="G33" s="16"/>
      <c r="H33" s="16"/>
      <c r="I33" s="16"/>
      <c r="J33" s="90"/>
      <c r="K33" s="91"/>
      <c r="L33" s="92" t="b">
        <v>0</v>
      </c>
      <c r="M33" s="93"/>
      <c r="N33" s="94"/>
      <c r="O33" s="95"/>
      <c r="P33" s="40"/>
    </row>
    <row r="34" ht="15.75" customHeight="1">
      <c r="A34" s="40"/>
      <c r="B34" s="96"/>
      <c r="C34" s="1"/>
      <c r="D34" s="1"/>
      <c r="E34" s="1"/>
      <c r="F34" s="1"/>
      <c r="G34" s="1"/>
      <c r="H34" s="1"/>
      <c r="I34" s="1"/>
      <c r="J34" s="101" t="s">
        <v>89</v>
      </c>
      <c r="K34" s="102"/>
      <c r="L34" s="1"/>
      <c r="M34" s="1"/>
      <c r="N34" s="97"/>
      <c r="O34" s="97"/>
      <c r="P34" s="40"/>
    </row>
    <row r="35" ht="15.75" customHeight="1">
      <c r="A35" s="40"/>
      <c r="B35" s="96"/>
      <c r="C35" s="100"/>
      <c r="D35" s="100"/>
      <c r="E35" s="100"/>
      <c r="F35" s="100"/>
      <c r="G35" s="100"/>
      <c r="H35" s="100"/>
      <c r="I35" s="100"/>
      <c r="J35" s="108" t="s">
        <v>63</v>
      </c>
      <c r="K35" s="109"/>
      <c r="L35" s="110"/>
      <c r="M35" s="111" t="s">
        <v>64</v>
      </c>
      <c r="N35" s="109"/>
      <c r="O35" s="102"/>
      <c r="P35" s="40"/>
    </row>
    <row r="36" ht="15.75" customHeight="1">
      <c r="A36" s="40"/>
      <c r="B36" s="19" t="s">
        <v>88</v>
      </c>
      <c r="C36" s="100"/>
      <c r="D36" s="100"/>
      <c r="E36" s="100"/>
      <c r="F36" s="100"/>
      <c r="G36" s="100"/>
      <c r="H36" s="100"/>
      <c r="I36" s="100"/>
      <c r="J36" s="117" t="str">
        <f t="array" ref="J36">GPA({K28:K33,M28:M33,O28:O33},1,2)</f>
        <v>Loading...</v>
      </c>
      <c r="K36" s="118"/>
      <c r="L36" s="110"/>
      <c r="M36" s="119" t="str">
        <f t="array" ref="M36">CREDITSSUM({K28:K33,M28:M33},1,2)</f>
        <v>Loading...</v>
      </c>
      <c r="N36" s="118"/>
      <c r="O36" s="120"/>
      <c r="P36" s="40"/>
    </row>
    <row r="37" ht="31.5" customHeight="1">
      <c r="A37" s="40"/>
      <c r="B37" s="76" t="s">
        <v>53</v>
      </c>
      <c r="C37" s="8"/>
      <c r="D37" s="8"/>
      <c r="E37" s="8"/>
      <c r="F37" s="8"/>
      <c r="G37" s="8"/>
      <c r="H37" s="8"/>
      <c r="I37" s="8"/>
      <c r="J37" s="77"/>
      <c r="K37" s="78" t="s">
        <v>54</v>
      </c>
      <c r="L37" s="79" t="s">
        <v>55</v>
      </c>
      <c r="M37" s="80" t="s">
        <v>56</v>
      </c>
      <c r="N37" s="81"/>
      <c r="O37" s="82" t="s">
        <v>57</v>
      </c>
      <c r="P37" s="1"/>
    </row>
    <row r="38" ht="15.75" customHeight="1">
      <c r="A38" s="40"/>
      <c r="B38" s="83"/>
      <c r="J38" s="47"/>
      <c r="K38" s="84"/>
      <c r="L38" s="85"/>
      <c r="M38" s="86"/>
      <c r="N38" s="87"/>
      <c r="O38" s="88"/>
      <c r="P38" s="1"/>
    </row>
    <row r="39" ht="15.75" customHeight="1">
      <c r="A39" s="40"/>
      <c r="B39" s="141"/>
      <c r="J39" s="47"/>
      <c r="K39" s="84"/>
      <c r="L39" s="85" t="b">
        <v>0</v>
      </c>
      <c r="M39" s="86"/>
      <c r="N39" s="142"/>
      <c r="O39" s="88"/>
      <c r="P39" s="40"/>
    </row>
    <row r="40" ht="15.75" customHeight="1">
      <c r="A40" s="40"/>
      <c r="B40" s="141"/>
      <c r="J40" s="47"/>
      <c r="K40" s="84"/>
      <c r="L40" s="143" t="b">
        <v>0</v>
      </c>
      <c r="M40" s="86"/>
      <c r="N40" s="142"/>
      <c r="O40" s="144"/>
      <c r="P40" s="40"/>
    </row>
    <row r="41" ht="15.75" customHeight="1">
      <c r="A41" s="40"/>
      <c r="B41" s="141"/>
      <c r="J41" s="47"/>
      <c r="K41" s="145"/>
      <c r="L41" s="143" t="b">
        <v>0</v>
      </c>
      <c r="M41" s="146"/>
      <c r="N41" s="142"/>
      <c r="O41" s="144"/>
      <c r="P41" s="40"/>
    </row>
    <row r="42" ht="15.75" customHeight="1">
      <c r="A42" s="40"/>
      <c r="B42" s="141"/>
      <c r="J42" s="47"/>
      <c r="K42" s="145"/>
      <c r="L42" s="85" t="b">
        <v>0</v>
      </c>
      <c r="M42" s="146"/>
      <c r="N42" s="142"/>
      <c r="O42" s="144"/>
      <c r="P42" s="40"/>
    </row>
    <row r="43" ht="15.75" customHeight="1">
      <c r="A43" s="40"/>
      <c r="B43" s="89"/>
      <c r="C43" s="16"/>
      <c r="D43" s="16"/>
      <c r="E43" s="16"/>
      <c r="F43" s="16"/>
      <c r="G43" s="16"/>
      <c r="H43" s="16"/>
      <c r="I43" s="16"/>
      <c r="J43" s="90"/>
      <c r="K43" s="91"/>
      <c r="L43" s="92" t="b">
        <v>0</v>
      </c>
      <c r="M43" s="93"/>
      <c r="N43" s="94"/>
      <c r="O43" s="95"/>
      <c r="P43" s="40"/>
    </row>
    <row r="44" ht="15.75" customHeight="1">
      <c r="A44" s="40"/>
      <c r="B44" s="96"/>
      <c r="C44" s="1"/>
      <c r="D44" s="1"/>
      <c r="E44" s="1"/>
      <c r="F44" s="1"/>
      <c r="G44" s="1"/>
      <c r="H44" s="1"/>
      <c r="I44" s="1"/>
      <c r="J44" s="101" t="s">
        <v>89</v>
      </c>
      <c r="K44" s="102"/>
      <c r="L44" s="1"/>
      <c r="M44" s="1"/>
      <c r="N44" s="97"/>
      <c r="O44" s="97"/>
      <c r="P44" s="40"/>
    </row>
    <row r="45" ht="15.75" customHeight="1">
      <c r="A45" s="40"/>
      <c r="B45" s="98" t="s">
        <v>58</v>
      </c>
      <c r="C45" s="99"/>
      <c r="D45" s="99"/>
      <c r="E45" s="99"/>
      <c r="F45" s="99"/>
      <c r="G45" s="99"/>
      <c r="H45" s="99"/>
      <c r="I45" s="100"/>
      <c r="J45" s="108" t="s">
        <v>63</v>
      </c>
      <c r="K45" s="109"/>
      <c r="L45" s="110"/>
      <c r="M45" s="111" t="s">
        <v>64</v>
      </c>
      <c r="N45" s="109"/>
      <c r="O45" s="102"/>
      <c r="P45" s="40"/>
    </row>
    <row r="46" ht="15.75" customHeight="1">
      <c r="A46" s="40"/>
      <c r="B46" s="103" t="s">
        <v>60</v>
      </c>
      <c r="C46" s="104" t="s">
        <v>61</v>
      </c>
      <c r="D46" s="105"/>
      <c r="E46" s="106"/>
      <c r="F46" s="104" t="s">
        <v>62</v>
      </c>
      <c r="G46" s="105"/>
      <c r="H46" s="107"/>
      <c r="I46" s="100"/>
      <c r="J46" s="117" t="str">
        <f t="array" ref="J46">GPA({K38:K43,M38:M43,O38:O43},1,2)</f>
        <v>Loading...</v>
      </c>
      <c r="K46" s="118"/>
      <c r="L46" s="110"/>
      <c r="M46" s="119" t="str">
        <f t="array" ref="M46">CREDITSSUM({K38:K43,M38:M43},1,2)</f>
        <v>Loading...</v>
      </c>
      <c r="N46" s="118"/>
      <c r="O46" s="120"/>
      <c r="P46" s="40"/>
    </row>
    <row r="47" ht="15.75" customHeight="1">
      <c r="A47" s="40"/>
      <c r="B47" s="112"/>
      <c r="C47" s="113" t="s">
        <v>65</v>
      </c>
      <c r="D47" s="114" t="s">
        <v>66</v>
      </c>
      <c r="E47" s="115" t="s">
        <v>67</v>
      </c>
      <c r="F47" s="113" t="s">
        <v>65</v>
      </c>
      <c r="G47" s="114" t="s">
        <v>66</v>
      </c>
      <c r="H47" s="116" t="s">
        <v>67</v>
      </c>
      <c r="I47" s="110"/>
      <c r="J47" s="1"/>
      <c r="K47" s="1"/>
      <c r="L47" s="1"/>
      <c r="M47" s="1"/>
      <c r="N47" s="1"/>
      <c r="O47" s="1"/>
      <c r="P47" s="40"/>
    </row>
    <row r="48" ht="15.75" customHeight="1">
      <c r="A48" s="40"/>
      <c r="B48" s="132" t="s">
        <v>68</v>
      </c>
      <c r="C48" s="122"/>
      <c r="D48" s="84"/>
      <c r="E48" s="123"/>
      <c r="F48" s="86"/>
      <c r="G48" s="84"/>
      <c r="H48" s="124"/>
      <c r="I48" s="110"/>
      <c r="J48" s="101" t="s">
        <v>59</v>
      </c>
      <c r="K48" s="102"/>
      <c r="L48" s="1"/>
      <c r="M48" s="1"/>
      <c r="N48" s="97"/>
      <c r="O48" s="97"/>
      <c r="P48" s="40"/>
    </row>
    <row r="49" ht="15.75" customHeight="1">
      <c r="A49" s="40"/>
      <c r="B49" s="132" t="s">
        <v>69</v>
      </c>
      <c r="C49" s="122"/>
      <c r="D49" s="84"/>
      <c r="E49" s="123"/>
      <c r="F49" s="86"/>
      <c r="G49" s="84"/>
      <c r="H49" s="124"/>
      <c r="I49" s="110"/>
      <c r="J49" s="108" t="s">
        <v>63</v>
      </c>
      <c r="K49" s="109"/>
      <c r="L49" s="110"/>
      <c r="M49" s="111" t="s">
        <v>64</v>
      </c>
      <c r="N49" s="109"/>
      <c r="O49" s="102"/>
      <c r="P49" s="40"/>
    </row>
    <row r="50" ht="15.75" customHeight="1">
      <c r="A50" s="40"/>
      <c r="B50" s="121" t="s">
        <v>70</v>
      </c>
      <c r="C50" s="122"/>
      <c r="D50" s="84"/>
      <c r="E50" s="123"/>
      <c r="F50" s="86"/>
      <c r="G50" s="84"/>
      <c r="H50" s="124"/>
      <c r="I50" s="110"/>
      <c r="J50" s="117" t="str">
        <f t="array" ref="J50">GPA({K8:K13,M8:M13,O8:O13;K18:K23,M18:M23,O18:O23;K28:K33,M28:M33,O28:O33;K38:K43,M38:M43,O38:O43},1,2)</f>
        <v>Loading...</v>
      </c>
      <c r="K50" s="118"/>
      <c r="L50" s="110"/>
      <c r="M50" s="119" t="str">
        <f t="array" ref="M50">CREDITSSUM({K8:K13,M8:M13;K18:K23,M18:M23;K28:K33,M28:M33;K38:K43,M38:M43},1,2)</f>
        <v>Loading...</v>
      </c>
      <c r="N50" s="118"/>
      <c r="O50" s="120"/>
      <c r="P50" s="40"/>
    </row>
    <row r="51" ht="15.75" customHeight="1">
      <c r="A51" s="40"/>
      <c r="B51" s="125" t="s">
        <v>71</v>
      </c>
      <c r="C51" s="126"/>
      <c r="D51" s="127"/>
      <c r="E51" s="128"/>
      <c r="F51" s="129"/>
      <c r="G51" s="127"/>
      <c r="H51" s="130"/>
      <c r="I51" s="97"/>
      <c r="J51" s="97"/>
      <c r="K51" s="97"/>
      <c r="L51" s="131"/>
      <c r="M51" s="97"/>
      <c r="N51" s="97"/>
      <c r="O51" s="97"/>
      <c r="P51" s="40"/>
    </row>
    <row r="52" ht="15.75" customHeight="1">
      <c r="A52" s="40"/>
      <c r="B52" s="96"/>
      <c r="C52" s="97"/>
      <c r="D52" s="97"/>
      <c r="E52" s="97"/>
      <c r="F52" s="97"/>
      <c r="G52" s="97"/>
      <c r="H52" s="97"/>
      <c r="I52" s="97"/>
      <c r="J52" s="97"/>
      <c r="K52" s="97"/>
      <c r="L52" s="131"/>
      <c r="M52" s="97"/>
      <c r="N52" s="97"/>
      <c r="O52" s="97"/>
      <c r="P52" s="40"/>
    </row>
    <row r="53" ht="15.75" customHeight="1">
      <c r="A53" s="40"/>
      <c r="B53" s="96"/>
      <c r="C53" s="97"/>
      <c r="D53" s="97"/>
      <c r="E53" s="97"/>
      <c r="F53" s="97"/>
      <c r="G53" s="97"/>
      <c r="H53" s="97"/>
      <c r="I53" s="97"/>
      <c r="J53" s="97"/>
      <c r="K53" s="97"/>
      <c r="L53" s="131"/>
      <c r="M53" s="97"/>
      <c r="N53" s="97"/>
      <c r="O53" s="97"/>
      <c r="P53" s="40"/>
    </row>
  </sheetData>
  <mergeCells count="74">
    <mergeCell ref="B27:J27"/>
    <mergeCell ref="B28:J28"/>
    <mergeCell ref="B29:J29"/>
    <mergeCell ref="B30:J30"/>
    <mergeCell ref="B31:J31"/>
    <mergeCell ref="B32:J32"/>
    <mergeCell ref="B33:J33"/>
    <mergeCell ref="J44:K44"/>
    <mergeCell ref="J45:K45"/>
    <mergeCell ref="M45:O45"/>
    <mergeCell ref="M46:O46"/>
    <mergeCell ref="B37:J37"/>
    <mergeCell ref="B38:J38"/>
    <mergeCell ref="B39:J39"/>
    <mergeCell ref="B40:J40"/>
    <mergeCell ref="B41:J41"/>
    <mergeCell ref="B42:J42"/>
    <mergeCell ref="B43:J43"/>
    <mergeCell ref="M49:O49"/>
    <mergeCell ref="M50:O50"/>
    <mergeCell ref="B46:B47"/>
    <mergeCell ref="C46:E46"/>
    <mergeCell ref="F46:H46"/>
    <mergeCell ref="J46:K46"/>
    <mergeCell ref="J48:K48"/>
    <mergeCell ref="J49:K49"/>
    <mergeCell ref="J50:K50"/>
    <mergeCell ref="C1:H1"/>
    <mergeCell ref="I1:O1"/>
    <mergeCell ref="C2:E2"/>
    <mergeCell ref="F2:H2"/>
    <mergeCell ref="I2:J2"/>
    <mergeCell ref="K2:O2"/>
    <mergeCell ref="C3:E3"/>
    <mergeCell ref="K3:O3"/>
    <mergeCell ref="F3:H3"/>
    <mergeCell ref="I3:J3"/>
    <mergeCell ref="C4:E4"/>
    <mergeCell ref="F4:H4"/>
    <mergeCell ref="I4:J4"/>
    <mergeCell ref="K4:O4"/>
    <mergeCell ref="C5:E6"/>
    <mergeCell ref="K5:O6"/>
    <mergeCell ref="F5:H6"/>
    <mergeCell ref="I5:J6"/>
    <mergeCell ref="B7:J7"/>
    <mergeCell ref="B8:J8"/>
    <mergeCell ref="B9:J9"/>
    <mergeCell ref="B10:J10"/>
    <mergeCell ref="B11:J11"/>
    <mergeCell ref="B12:J12"/>
    <mergeCell ref="B13:J13"/>
    <mergeCell ref="J14:K14"/>
    <mergeCell ref="J15:K15"/>
    <mergeCell ref="M15:O15"/>
    <mergeCell ref="J16:K16"/>
    <mergeCell ref="M16:O16"/>
    <mergeCell ref="J24:K24"/>
    <mergeCell ref="J25:K25"/>
    <mergeCell ref="M25:O25"/>
    <mergeCell ref="J26:K26"/>
    <mergeCell ref="M26:O26"/>
    <mergeCell ref="B17:J17"/>
    <mergeCell ref="B18:J18"/>
    <mergeCell ref="B19:J19"/>
    <mergeCell ref="B20:J20"/>
    <mergeCell ref="B21:J21"/>
    <mergeCell ref="B22:J22"/>
    <mergeCell ref="B23:J23"/>
    <mergeCell ref="J34:K34"/>
    <mergeCell ref="J35:K35"/>
    <mergeCell ref="M35:O35"/>
    <mergeCell ref="J36:K36"/>
    <mergeCell ref="M36:O36"/>
  </mergeCells>
  <dataValidations>
    <dataValidation type="custom" allowBlank="1" showDropDown="1" showInputMessage="1" showErrorMessage="1" prompt="Enter a number" sqref="K8:K12 O8:O13 K18:K22 O18:O23 K28:K32 O28:O33 K38:K42 O38:O43">
      <formula1>ISNUMBER(K8)</formula1>
    </dataValidation>
    <dataValidation type="list" allowBlank="1" showInputMessage="1" showErrorMessage="1" prompt="Click and enter a valid scale from the list of items. The valid scales are Letter, 0-100, 0-4, and None" sqref="B3">
      <formula1>"Letter,0-4,0-100,None"</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8.88"/>
    <col customWidth="1" min="3" max="8" width="6.38"/>
    <col customWidth="1" hidden="1" min="9" max="9" width="18.88"/>
    <col customWidth="1" min="10" max="10" width="18.88"/>
    <col customWidth="1" min="11" max="11" width="6.38"/>
    <col customWidth="1" hidden="1" min="12" max="12" width="18.88"/>
    <col customWidth="1" min="13" max="13" width="6.38"/>
    <col customWidth="1" hidden="1" min="14" max="14" width="6.38"/>
    <col customWidth="1" min="15" max="15" width="6.38"/>
  </cols>
  <sheetData>
    <row r="1" ht="31.5" customHeight="1">
      <c r="A1" s="58"/>
      <c r="B1" s="1"/>
      <c r="C1" s="71" t="s">
        <v>5</v>
      </c>
      <c r="I1" s="58" t="s">
        <v>6</v>
      </c>
      <c r="P1" s="72"/>
    </row>
    <row r="2" ht="15.75" customHeight="1">
      <c r="A2" s="73"/>
      <c r="B2" s="74" t="s">
        <v>50</v>
      </c>
      <c r="C2" s="59" t="s">
        <v>8</v>
      </c>
      <c r="F2" s="60" t="str">
        <f>'Getting Started'!$G$10</f>
        <v/>
      </c>
      <c r="I2" s="59" t="s">
        <v>9</v>
      </c>
      <c r="K2" s="60" t="str">
        <f>'Getting Started'!$I$10</f>
        <v/>
      </c>
      <c r="P2" s="40"/>
    </row>
    <row r="3" ht="15.75" customHeight="1">
      <c r="A3" s="73"/>
      <c r="B3" s="75" t="s">
        <v>51</v>
      </c>
      <c r="C3" s="59" t="s">
        <v>11</v>
      </c>
      <c r="F3" s="61" t="str">
        <f>'Getting Started'!$G$11</f>
        <v/>
      </c>
      <c r="I3" s="59" t="s">
        <v>12</v>
      </c>
      <c r="K3" s="60" t="str">
        <f>'Getting Started'!$I$11</f>
        <v/>
      </c>
      <c r="P3" s="40"/>
    </row>
    <row r="4" ht="31.5" customHeight="1">
      <c r="A4" s="73"/>
      <c r="B4" s="1"/>
      <c r="C4" s="59" t="s">
        <v>13</v>
      </c>
      <c r="F4" s="60" t="str">
        <f>'Getting Started'!$G$12</f>
        <v/>
      </c>
      <c r="I4" s="59" t="s">
        <v>14</v>
      </c>
      <c r="K4" s="60" t="str">
        <f>'Getting Started'!$I$12</f>
        <v/>
      </c>
      <c r="P4" s="40"/>
    </row>
    <row r="5" ht="15.75" customHeight="1">
      <c r="A5" s="73"/>
      <c r="B5" s="1"/>
      <c r="C5" s="59" t="s">
        <v>15</v>
      </c>
      <c r="F5" s="62" t="str">
        <f>'Getting Started'!$G$14</f>
        <v/>
      </c>
      <c r="I5" s="59" t="s">
        <v>16</v>
      </c>
      <c r="K5" s="60" t="str">
        <f>'Getting Started'!$I$14</f>
        <v/>
      </c>
      <c r="P5" s="40"/>
    </row>
    <row r="6" ht="15.75" customHeight="1">
      <c r="A6" s="73"/>
      <c r="B6" s="19" t="s">
        <v>84</v>
      </c>
      <c r="P6" s="40"/>
    </row>
    <row r="7" ht="31.5" customHeight="1">
      <c r="A7" s="40"/>
      <c r="B7" s="76" t="s">
        <v>53</v>
      </c>
      <c r="C7" s="8"/>
      <c r="D7" s="8"/>
      <c r="E7" s="8"/>
      <c r="F7" s="8"/>
      <c r="G7" s="8"/>
      <c r="H7" s="8"/>
      <c r="I7" s="8"/>
      <c r="J7" s="77"/>
      <c r="K7" s="78" t="s">
        <v>54</v>
      </c>
      <c r="L7" s="79" t="s">
        <v>55</v>
      </c>
      <c r="M7" s="80" t="s">
        <v>56</v>
      </c>
      <c r="N7" s="81"/>
      <c r="O7" s="82" t="s">
        <v>57</v>
      </c>
      <c r="P7" s="1"/>
    </row>
    <row r="8" ht="15.75" customHeight="1">
      <c r="A8" s="40"/>
      <c r="B8" s="83"/>
      <c r="J8" s="47"/>
      <c r="K8" s="84"/>
      <c r="L8" s="85"/>
      <c r="M8" s="86"/>
      <c r="N8" s="87"/>
      <c r="O8" s="88"/>
      <c r="P8" s="1"/>
    </row>
    <row r="9" ht="15.75" customHeight="1">
      <c r="A9" s="40"/>
      <c r="B9" s="141"/>
      <c r="J9" s="47"/>
      <c r="K9" s="84"/>
      <c r="L9" s="85" t="b">
        <v>0</v>
      </c>
      <c r="M9" s="86"/>
      <c r="N9" s="142"/>
      <c r="O9" s="88"/>
      <c r="P9" s="40"/>
    </row>
    <row r="10" ht="15.75" customHeight="1">
      <c r="A10" s="40"/>
      <c r="B10" s="141"/>
      <c r="J10" s="47"/>
      <c r="K10" s="84"/>
      <c r="L10" s="143" t="b">
        <v>0</v>
      </c>
      <c r="M10" s="86"/>
      <c r="N10" s="142"/>
      <c r="O10" s="144"/>
      <c r="P10" s="40"/>
    </row>
    <row r="11" ht="15.75" customHeight="1">
      <c r="A11" s="40"/>
      <c r="B11" s="141"/>
      <c r="J11" s="47"/>
      <c r="K11" s="145"/>
      <c r="L11" s="85" t="b">
        <v>0</v>
      </c>
      <c r="M11" s="146"/>
      <c r="N11" s="142"/>
      <c r="O11" s="144"/>
      <c r="P11" s="40"/>
    </row>
    <row r="12" ht="15.75" customHeight="1">
      <c r="A12" s="40"/>
      <c r="B12" s="141"/>
      <c r="J12" s="47"/>
      <c r="K12" s="145"/>
      <c r="L12" s="85" t="b">
        <v>0</v>
      </c>
      <c r="M12" s="146"/>
      <c r="N12" s="142"/>
      <c r="O12" s="144"/>
      <c r="P12" s="40"/>
    </row>
    <row r="13" ht="15.75" customHeight="1">
      <c r="A13" s="40"/>
      <c r="B13" s="89"/>
      <c r="C13" s="16"/>
      <c r="D13" s="16"/>
      <c r="E13" s="16"/>
      <c r="F13" s="16"/>
      <c r="G13" s="16"/>
      <c r="H13" s="16"/>
      <c r="I13" s="16"/>
      <c r="J13" s="90"/>
      <c r="K13" s="91"/>
      <c r="L13" s="92" t="b">
        <v>0</v>
      </c>
      <c r="M13" s="93"/>
      <c r="N13" s="94"/>
      <c r="O13" s="95"/>
      <c r="P13" s="40"/>
    </row>
    <row r="14" ht="15.75" customHeight="1">
      <c r="A14" s="40"/>
      <c r="B14" s="96"/>
      <c r="C14" s="1"/>
      <c r="D14" s="1"/>
      <c r="E14" s="1"/>
      <c r="F14" s="1"/>
      <c r="G14" s="1"/>
      <c r="H14" s="1"/>
      <c r="I14" s="1"/>
      <c r="J14" s="101" t="s">
        <v>85</v>
      </c>
      <c r="K14" s="102"/>
      <c r="L14" s="1"/>
      <c r="M14" s="1"/>
      <c r="N14" s="97"/>
      <c r="O14" s="97"/>
      <c r="P14" s="40"/>
    </row>
    <row r="15" ht="15.75" customHeight="1">
      <c r="A15" s="40"/>
      <c r="B15" s="96"/>
      <c r="C15" s="100"/>
      <c r="D15" s="100"/>
      <c r="E15" s="100"/>
      <c r="F15" s="100"/>
      <c r="G15" s="100"/>
      <c r="H15" s="100"/>
      <c r="I15" s="100"/>
      <c r="J15" s="108" t="s">
        <v>63</v>
      </c>
      <c r="K15" s="109"/>
      <c r="L15" s="110"/>
      <c r="M15" s="111" t="s">
        <v>64</v>
      </c>
      <c r="N15" s="109"/>
      <c r="O15" s="102"/>
      <c r="P15" s="40"/>
    </row>
    <row r="16" ht="15.75" customHeight="1">
      <c r="A16" s="40"/>
      <c r="B16" s="19" t="s">
        <v>86</v>
      </c>
      <c r="C16" s="100"/>
      <c r="D16" s="100"/>
      <c r="E16" s="100"/>
      <c r="F16" s="100"/>
      <c r="G16" s="100"/>
      <c r="H16" s="100"/>
      <c r="I16" s="100"/>
      <c r="J16" s="117" t="str">
        <f t="array" ref="J16">GPA({K8:K13,M8:M13,O8:O13},1,2)</f>
        <v>Loading...</v>
      </c>
      <c r="K16" s="118"/>
      <c r="L16" s="110"/>
      <c r="M16" s="119" t="str">
        <f t="array" ref="M16">CREDITSSUM({K8:K13,M8:M13},1,2)</f>
        <v>Loading...</v>
      </c>
      <c r="N16" s="118"/>
      <c r="O16" s="120"/>
      <c r="P16" s="40"/>
    </row>
    <row r="17" ht="31.5" customHeight="1">
      <c r="A17" s="40"/>
      <c r="B17" s="76" t="s">
        <v>53</v>
      </c>
      <c r="C17" s="8"/>
      <c r="D17" s="8"/>
      <c r="E17" s="8"/>
      <c r="F17" s="8"/>
      <c r="G17" s="8"/>
      <c r="H17" s="8"/>
      <c r="I17" s="8"/>
      <c r="J17" s="77"/>
      <c r="K17" s="78" t="s">
        <v>54</v>
      </c>
      <c r="L17" s="79" t="s">
        <v>55</v>
      </c>
      <c r="M17" s="80" t="s">
        <v>56</v>
      </c>
      <c r="N17" s="81"/>
      <c r="O17" s="82" t="s">
        <v>57</v>
      </c>
      <c r="P17" s="1"/>
    </row>
    <row r="18" ht="15.75" customHeight="1">
      <c r="A18" s="40"/>
      <c r="B18" s="83"/>
      <c r="J18" s="47"/>
      <c r="K18" s="84"/>
      <c r="L18" s="85"/>
      <c r="M18" s="86"/>
      <c r="N18" s="87"/>
      <c r="O18" s="88"/>
      <c r="P18" s="1"/>
    </row>
    <row r="19" ht="15.75" customHeight="1">
      <c r="A19" s="40"/>
      <c r="B19" s="141"/>
      <c r="J19" s="47"/>
      <c r="K19" s="84"/>
      <c r="L19" s="85" t="b">
        <v>0</v>
      </c>
      <c r="M19" s="86"/>
      <c r="N19" s="142"/>
      <c r="O19" s="88"/>
      <c r="P19" s="40"/>
    </row>
    <row r="20" ht="15.75" customHeight="1">
      <c r="A20" s="40"/>
      <c r="B20" s="141"/>
      <c r="J20" s="47"/>
      <c r="K20" s="84"/>
      <c r="L20" s="143" t="b">
        <v>0</v>
      </c>
      <c r="M20" s="86"/>
      <c r="N20" s="142"/>
      <c r="O20" s="144"/>
      <c r="P20" s="40"/>
    </row>
    <row r="21" ht="15.75" customHeight="1">
      <c r="A21" s="40"/>
      <c r="B21" s="141"/>
      <c r="J21" s="47"/>
      <c r="K21" s="145"/>
      <c r="L21" s="143" t="b">
        <v>0</v>
      </c>
      <c r="M21" s="146"/>
      <c r="N21" s="142"/>
      <c r="O21" s="144"/>
      <c r="P21" s="40"/>
    </row>
    <row r="22" ht="15.75" customHeight="1">
      <c r="A22" s="40"/>
      <c r="B22" s="141"/>
      <c r="J22" s="47"/>
      <c r="K22" s="145"/>
      <c r="L22" s="85" t="b">
        <v>0</v>
      </c>
      <c r="M22" s="146"/>
      <c r="N22" s="142"/>
      <c r="O22" s="144"/>
      <c r="P22" s="40"/>
    </row>
    <row r="23" ht="15.75" customHeight="1">
      <c r="A23" s="40"/>
      <c r="B23" s="89"/>
      <c r="C23" s="16"/>
      <c r="D23" s="16"/>
      <c r="E23" s="16"/>
      <c r="F23" s="16"/>
      <c r="G23" s="16"/>
      <c r="H23" s="16"/>
      <c r="I23" s="16"/>
      <c r="J23" s="90"/>
      <c r="K23" s="91"/>
      <c r="L23" s="92" t="b">
        <v>0</v>
      </c>
      <c r="M23" s="93"/>
      <c r="N23" s="94"/>
      <c r="O23" s="95"/>
      <c r="P23" s="40"/>
    </row>
    <row r="24" ht="15.75" customHeight="1">
      <c r="A24" s="40"/>
      <c r="B24" s="96"/>
      <c r="C24" s="1"/>
      <c r="D24" s="1"/>
      <c r="E24" s="1"/>
      <c r="F24" s="1"/>
      <c r="G24" s="1"/>
      <c r="H24" s="1"/>
      <c r="I24" s="1"/>
      <c r="J24" s="101" t="s">
        <v>87</v>
      </c>
      <c r="K24" s="102"/>
      <c r="L24" s="1"/>
      <c r="M24" s="1"/>
      <c r="N24" s="97"/>
      <c r="O24" s="97"/>
      <c r="P24" s="40"/>
    </row>
    <row r="25" ht="15.75" customHeight="1">
      <c r="A25" s="40"/>
      <c r="B25" s="96"/>
      <c r="C25" s="100"/>
      <c r="D25" s="100"/>
      <c r="E25" s="100"/>
      <c r="F25" s="100"/>
      <c r="G25" s="100"/>
      <c r="H25" s="100"/>
      <c r="I25" s="100"/>
      <c r="J25" s="108" t="s">
        <v>63</v>
      </c>
      <c r="K25" s="109"/>
      <c r="L25" s="110"/>
      <c r="M25" s="111" t="s">
        <v>64</v>
      </c>
      <c r="N25" s="109"/>
      <c r="O25" s="102"/>
      <c r="P25" s="40"/>
    </row>
    <row r="26" ht="15.75" customHeight="1">
      <c r="A26" s="40"/>
      <c r="B26" s="19" t="s">
        <v>88</v>
      </c>
      <c r="C26" s="100"/>
      <c r="D26" s="100"/>
      <c r="E26" s="100"/>
      <c r="F26" s="100"/>
      <c r="G26" s="100"/>
      <c r="H26" s="100"/>
      <c r="I26" s="100"/>
      <c r="J26" s="117" t="str">
        <f t="array" ref="J26">GPA({K18:K23,M18:M23,O18:O23},1,2)</f>
        <v>Loading...</v>
      </c>
      <c r="K26" s="118"/>
      <c r="L26" s="110"/>
      <c r="M26" s="119" t="str">
        <f t="array" ref="M26">CREDITSSUM({K18:K23,M18:M23},1,2)</f>
        <v>Loading...</v>
      </c>
      <c r="N26" s="118"/>
      <c r="O26" s="120"/>
      <c r="P26" s="40"/>
    </row>
    <row r="27" ht="31.5" customHeight="1">
      <c r="A27" s="40"/>
      <c r="B27" s="76" t="s">
        <v>53</v>
      </c>
      <c r="C27" s="8"/>
      <c r="D27" s="8"/>
      <c r="E27" s="8"/>
      <c r="F27" s="8"/>
      <c r="G27" s="8"/>
      <c r="H27" s="8"/>
      <c r="I27" s="8"/>
      <c r="J27" s="77"/>
      <c r="K27" s="78" t="s">
        <v>54</v>
      </c>
      <c r="L27" s="79" t="s">
        <v>55</v>
      </c>
      <c r="M27" s="80" t="s">
        <v>56</v>
      </c>
      <c r="N27" s="81"/>
      <c r="O27" s="82" t="s">
        <v>57</v>
      </c>
      <c r="P27" s="1"/>
    </row>
    <row r="28" ht="15.75" customHeight="1">
      <c r="A28" s="40"/>
      <c r="B28" s="83"/>
      <c r="J28" s="47"/>
      <c r="K28" s="84"/>
      <c r="L28" s="85"/>
      <c r="M28" s="86"/>
      <c r="N28" s="87"/>
      <c r="O28" s="88"/>
      <c r="P28" s="1"/>
    </row>
    <row r="29" ht="15.75" customHeight="1">
      <c r="A29" s="40"/>
      <c r="B29" s="141"/>
      <c r="J29" s="47"/>
      <c r="K29" s="84"/>
      <c r="L29" s="85" t="b">
        <v>0</v>
      </c>
      <c r="M29" s="86"/>
      <c r="N29" s="142"/>
      <c r="O29" s="88"/>
      <c r="P29" s="40"/>
    </row>
    <row r="30" ht="15.75" customHeight="1">
      <c r="A30" s="40"/>
      <c r="B30" s="141"/>
      <c r="J30" s="47"/>
      <c r="K30" s="84"/>
      <c r="L30" s="143" t="b">
        <v>0</v>
      </c>
      <c r="M30" s="86"/>
      <c r="N30" s="142"/>
      <c r="O30" s="144"/>
      <c r="P30" s="40"/>
    </row>
    <row r="31" ht="15.75" customHeight="1">
      <c r="A31" s="40"/>
      <c r="B31" s="141"/>
      <c r="J31" s="47"/>
      <c r="K31" s="145"/>
      <c r="L31" s="143" t="b">
        <v>0</v>
      </c>
      <c r="M31" s="146"/>
      <c r="N31" s="142"/>
      <c r="O31" s="144"/>
      <c r="P31" s="40"/>
    </row>
    <row r="32" ht="15.75" customHeight="1">
      <c r="A32" s="40"/>
      <c r="B32" s="141"/>
      <c r="J32" s="47"/>
      <c r="K32" s="145"/>
      <c r="L32" s="85" t="b">
        <v>0</v>
      </c>
      <c r="M32" s="146"/>
      <c r="N32" s="142"/>
      <c r="O32" s="144"/>
      <c r="P32" s="40"/>
    </row>
    <row r="33" ht="15.75" customHeight="1">
      <c r="A33" s="40"/>
      <c r="B33" s="89"/>
      <c r="C33" s="16"/>
      <c r="D33" s="16"/>
      <c r="E33" s="16"/>
      <c r="F33" s="16"/>
      <c r="G33" s="16"/>
      <c r="H33" s="16"/>
      <c r="I33" s="16"/>
      <c r="J33" s="90"/>
      <c r="K33" s="91"/>
      <c r="L33" s="92" t="b">
        <v>0</v>
      </c>
      <c r="M33" s="93"/>
      <c r="N33" s="94"/>
      <c r="O33" s="95"/>
      <c r="P33" s="40"/>
    </row>
    <row r="34" ht="15.75" customHeight="1">
      <c r="A34" s="40"/>
      <c r="B34" s="96"/>
      <c r="C34" s="1"/>
      <c r="D34" s="1"/>
      <c r="E34" s="1"/>
      <c r="F34" s="1"/>
      <c r="G34" s="1"/>
      <c r="H34" s="1"/>
      <c r="I34" s="1"/>
      <c r="J34" s="101" t="s">
        <v>89</v>
      </c>
      <c r="K34" s="102"/>
      <c r="L34" s="1"/>
      <c r="M34" s="1"/>
      <c r="N34" s="97"/>
      <c r="O34" s="97"/>
      <c r="P34" s="40"/>
    </row>
    <row r="35" ht="15.75" customHeight="1">
      <c r="A35" s="40"/>
      <c r="B35" s="96"/>
      <c r="C35" s="100"/>
      <c r="D35" s="100"/>
      <c r="E35" s="100"/>
      <c r="F35" s="100"/>
      <c r="G35" s="100"/>
      <c r="H35" s="100"/>
      <c r="I35" s="100"/>
      <c r="J35" s="108" t="s">
        <v>63</v>
      </c>
      <c r="K35" s="109"/>
      <c r="L35" s="110"/>
      <c r="M35" s="111" t="s">
        <v>64</v>
      </c>
      <c r="N35" s="109"/>
      <c r="O35" s="102"/>
      <c r="P35" s="40"/>
    </row>
    <row r="36" ht="15.75" customHeight="1">
      <c r="A36" s="40"/>
      <c r="B36" s="19" t="s">
        <v>88</v>
      </c>
      <c r="C36" s="100"/>
      <c r="D36" s="100"/>
      <c r="E36" s="100"/>
      <c r="F36" s="100"/>
      <c r="G36" s="100"/>
      <c r="H36" s="100"/>
      <c r="I36" s="100"/>
      <c r="J36" s="117" t="str">
        <f t="array" ref="J36">GPA({K28:K33,M28:M33,O28:O33},1,2)</f>
        <v>Loading...</v>
      </c>
      <c r="K36" s="118"/>
      <c r="L36" s="110"/>
      <c r="M36" s="119" t="str">
        <f t="array" ref="M36">CREDITSSUM({K28:K33,M28:M33},1,2)</f>
        <v>Loading...</v>
      </c>
      <c r="N36" s="118"/>
      <c r="O36" s="120"/>
      <c r="P36" s="40"/>
    </row>
    <row r="37" ht="31.5" customHeight="1">
      <c r="A37" s="40"/>
      <c r="B37" s="76" t="s">
        <v>53</v>
      </c>
      <c r="C37" s="8"/>
      <c r="D37" s="8"/>
      <c r="E37" s="8"/>
      <c r="F37" s="8"/>
      <c r="G37" s="8"/>
      <c r="H37" s="8"/>
      <c r="I37" s="8"/>
      <c r="J37" s="77"/>
      <c r="K37" s="78" t="s">
        <v>54</v>
      </c>
      <c r="L37" s="79" t="s">
        <v>55</v>
      </c>
      <c r="M37" s="80" t="s">
        <v>56</v>
      </c>
      <c r="N37" s="81"/>
      <c r="O37" s="82" t="s">
        <v>57</v>
      </c>
      <c r="P37" s="1"/>
    </row>
    <row r="38" ht="15.75" customHeight="1">
      <c r="A38" s="40"/>
      <c r="B38" s="83"/>
      <c r="J38" s="47"/>
      <c r="K38" s="84"/>
      <c r="L38" s="85"/>
      <c r="M38" s="86"/>
      <c r="N38" s="87"/>
      <c r="O38" s="88"/>
      <c r="P38" s="1"/>
    </row>
    <row r="39" ht="15.75" customHeight="1">
      <c r="A39" s="40"/>
      <c r="B39" s="141"/>
      <c r="J39" s="47"/>
      <c r="K39" s="84"/>
      <c r="L39" s="85" t="b">
        <v>0</v>
      </c>
      <c r="M39" s="86"/>
      <c r="N39" s="142"/>
      <c r="O39" s="88"/>
      <c r="P39" s="40"/>
    </row>
    <row r="40" ht="15.75" customHeight="1">
      <c r="A40" s="40"/>
      <c r="B40" s="141"/>
      <c r="J40" s="47"/>
      <c r="K40" s="84"/>
      <c r="L40" s="143" t="b">
        <v>0</v>
      </c>
      <c r="M40" s="86"/>
      <c r="N40" s="142"/>
      <c r="O40" s="144"/>
      <c r="P40" s="40"/>
    </row>
    <row r="41" ht="15.75" customHeight="1">
      <c r="A41" s="40"/>
      <c r="B41" s="141"/>
      <c r="J41" s="47"/>
      <c r="K41" s="145"/>
      <c r="L41" s="143" t="b">
        <v>0</v>
      </c>
      <c r="M41" s="146"/>
      <c r="N41" s="142"/>
      <c r="O41" s="144"/>
      <c r="P41" s="40"/>
    </row>
    <row r="42" ht="15.75" customHeight="1">
      <c r="A42" s="40"/>
      <c r="B42" s="141"/>
      <c r="J42" s="47"/>
      <c r="K42" s="145"/>
      <c r="L42" s="85" t="b">
        <v>0</v>
      </c>
      <c r="M42" s="146"/>
      <c r="N42" s="142"/>
      <c r="O42" s="144"/>
      <c r="P42" s="40"/>
    </row>
    <row r="43" ht="15.75" customHeight="1">
      <c r="A43" s="40"/>
      <c r="B43" s="89"/>
      <c r="C43" s="16"/>
      <c r="D43" s="16"/>
      <c r="E43" s="16"/>
      <c r="F43" s="16"/>
      <c r="G43" s="16"/>
      <c r="H43" s="16"/>
      <c r="I43" s="16"/>
      <c r="J43" s="90"/>
      <c r="K43" s="91"/>
      <c r="L43" s="92" t="b">
        <v>0</v>
      </c>
      <c r="M43" s="93"/>
      <c r="N43" s="94"/>
      <c r="O43" s="95"/>
      <c r="P43" s="40"/>
    </row>
    <row r="44" ht="15.75" customHeight="1">
      <c r="A44" s="40"/>
      <c r="B44" s="96"/>
      <c r="C44" s="1"/>
      <c r="D44" s="1"/>
      <c r="E44" s="1"/>
      <c r="F44" s="1"/>
      <c r="G44" s="1"/>
      <c r="H44" s="1"/>
      <c r="I44" s="1"/>
      <c r="J44" s="101" t="s">
        <v>89</v>
      </c>
      <c r="K44" s="102"/>
      <c r="L44" s="1"/>
      <c r="M44" s="1"/>
      <c r="N44" s="97"/>
      <c r="O44" s="97"/>
      <c r="P44" s="40"/>
    </row>
    <row r="45" ht="15.75" customHeight="1">
      <c r="A45" s="40"/>
      <c r="B45" s="98" t="s">
        <v>58</v>
      </c>
      <c r="C45" s="99"/>
      <c r="D45" s="99"/>
      <c r="E45" s="99"/>
      <c r="F45" s="99"/>
      <c r="G45" s="99"/>
      <c r="H45" s="99"/>
      <c r="I45" s="100"/>
      <c r="J45" s="108" t="s">
        <v>63</v>
      </c>
      <c r="K45" s="109"/>
      <c r="L45" s="110"/>
      <c r="M45" s="111" t="s">
        <v>64</v>
      </c>
      <c r="N45" s="109"/>
      <c r="O45" s="102"/>
      <c r="P45" s="40"/>
    </row>
    <row r="46" ht="15.75" customHeight="1">
      <c r="A46" s="40"/>
      <c r="B46" s="103" t="s">
        <v>60</v>
      </c>
      <c r="C46" s="104" t="s">
        <v>61</v>
      </c>
      <c r="D46" s="105"/>
      <c r="E46" s="106"/>
      <c r="F46" s="104" t="s">
        <v>62</v>
      </c>
      <c r="G46" s="105"/>
      <c r="H46" s="107"/>
      <c r="I46" s="100"/>
      <c r="J46" s="117" t="str">
        <f t="array" ref="J46">GPA({K38:K43,M38:M43,O38:O43},1,2)</f>
        <v>Loading...</v>
      </c>
      <c r="K46" s="118"/>
      <c r="L46" s="110"/>
      <c r="M46" s="119" t="str">
        <f t="array" ref="M46">CREDITSSUM({K38:K43,M38:M43},1,2)</f>
        <v>Loading...</v>
      </c>
      <c r="N46" s="118"/>
      <c r="O46" s="120"/>
      <c r="P46" s="40"/>
    </row>
    <row r="47" ht="15.75" customHeight="1">
      <c r="A47" s="40"/>
      <c r="B47" s="112"/>
      <c r="C47" s="113" t="s">
        <v>65</v>
      </c>
      <c r="D47" s="114" t="s">
        <v>66</v>
      </c>
      <c r="E47" s="115" t="s">
        <v>67</v>
      </c>
      <c r="F47" s="113" t="s">
        <v>65</v>
      </c>
      <c r="G47" s="114" t="s">
        <v>66</v>
      </c>
      <c r="H47" s="116" t="s">
        <v>67</v>
      </c>
      <c r="I47" s="110"/>
      <c r="J47" s="1"/>
      <c r="K47" s="1"/>
      <c r="L47" s="1"/>
      <c r="M47" s="1"/>
      <c r="N47" s="1"/>
      <c r="O47" s="1"/>
      <c r="P47" s="40"/>
    </row>
    <row r="48" ht="15.75" customHeight="1">
      <c r="A48" s="40"/>
      <c r="B48" s="132" t="s">
        <v>68</v>
      </c>
      <c r="C48" s="122"/>
      <c r="D48" s="84"/>
      <c r="E48" s="123"/>
      <c r="F48" s="86"/>
      <c r="G48" s="84"/>
      <c r="H48" s="124"/>
      <c r="I48" s="110"/>
      <c r="J48" s="101" t="s">
        <v>59</v>
      </c>
      <c r="K48" s="102"/>
      <c r="L48" s="1"/>
      <c r="M48" s="1"/>
      <c r="N48" s="97"/>
      <c r="O48" s="97"/>
      <c r="P48" s="40"/>
    </row>
    <row r="49" ht="15.75" customHeight="1">
      <c r="A49" s="40"/>
      <c r="B49" s="132" t="s">
        <v>69</v>
      </c>
      <c r="C49" s="122"/>
      <c r="D49" s="84"/>
      <c r="E49" s="123"/>
      <c r="F49" s="86"/>
      <c r="G49" s="84"/>
      <c r="H49" s="124"/>
      <c r="I49" s="110"/>
      <c r="J49" s="108" t="s">
        <v>63</v>
      </c>
      <c r="K49" s="109"/>
      <c r="L49" s="110"/>
      <c r="M49" s="111" t="s">
        <v>64</v>
      </c>
      <c r="N49" s="109"/>
      <c r="O49" s="102"/>
      <c r="P49" s="40"/>
    </row>
    <row r="50" ht="15.75" customHeight="1">
      <c r="A50" s="40"/>
      <c r="B50" s="121" t="s">
        <v>70</v>
      </c>
      <c r="C50" s="122"/>
      <c r="D50" s="84"/>
      <c r="E50" s="123"/>
      <c r="F50" s="86"/>
      <c r="G50" s="84"/>
      <c r="H50" s="124"/>
      <c r="I50" s="110"/>
      <c r="J50" s="117" t="str">
        <f t="array" ref="J50">GPA({K8:K13,M8:M13,O8:O13;K18:K23,M18:M23,O18:O23;K28:K33,M28:M33,O28:O33;K38:K43,M38:M43,O38:O43},1,2)</f>
        <v>Loading...</v>
      </c>
      <c r="K50" s="118"/>
      <c r="L50" s="110"/>
      <c r="M50" s="119" t="str">
        <f t="array" ref="M50">CREDITSSUM({K8:K13,M8:M13;K18:K23,M18:M23;K28:K33,M28:M33;K38:K43,M38:M43},1,2)</f>
        <v>Loading...</v>
      </c>
      <c r="N50" s="118"/>
      <c r="O50" s="120"/>
      <c r="P50" s="40"/>
    </row>
    <row r="51" ht="15.75" customHeight="1">
      <c r="A51" s="40"/>
      <c r="B51" s="125" t="s">
        <v>71</v>
      </c>
      <c r="C51" s="126"/>
      <c r="D51" s="127"/>
      <c r="E51" s="128"/>
      <c r="F51" s="129"/>
      <c r="G51" s="127"/>
      <c r="H51" s="130"/>
      <c r="I51" s="97"/>
      <c r="J51" s="97"/>
      <c r="K51" s="97"/>
      <c r="L51" s="131"/>
      <c r="M51" s="97"/>
      <c r="N51" s="97"/>
      <c r="O51" s="97"/>
      <c r="P51" s="40"/>
    </row>
    <row r="52" ht="15.75" customHeight="1">
      <c r="A52" s="40"/>
      <c r="B52" s="96"/>
      <c r="C52" s="97"/>
      <c r="D52" s="97"/>
      <c r="E52" s="97"/>
      <c r="F52" s="97"/>
      <c r="G52" s="97"/>
      <c r="H52" s="97"/>
      <c r="I52" s="97"/>
      <c r="J52" s="97"/>
      <c r="K52" s="97"/>
      <c r="L52" s="131"/>
      <c r="M52" s="97"/>
      <c r="N52" s="97"/>
      <c r="O52" s="97"/>
      <c r="P52" s="40"/>
    </row>
    <row r="53" ht="15.75" customHeight="1">
      <c r="A53" s="40"/>
      <c r="B53" s="96"/>
      <c r="C53" s="97"/>
      <c r="D53" s="97"/>
      <c r="E53" s="97"/>
      <c r="F53" s="97"/>
      <c r="G53" s="97"/>
      <c r="H53" s="97"/>
      <c r="I53" s="97"/>
      <c r="J53" s="97"/>
      <c r="K53" s="97"/>
      <c r="L53" s="131"/>
      <c r="M53" s="97"/>
      <c r="N53" s="97"/>
      <c r="O53" s="97"/>
      <c r="P53" s="40"/>
    </row>
  </sheetData>
  <mergeCells count="74">
    <mergeCell ref="B27:J27"/>
    <mergeCell ref="B28:J28"/>
    <mergeCell ref="B29:J29"/>
    <mergeCell ref="B30:J30"/>
    <mergeCell ref="B31:J31"/>
    <mergeCell ref="B32:J32"/>
    <mergeCell ref="B33:J33"/>
    <mergeCell ref="J44:K44"/>
    <mergeCell ref="J45:K45"/>
    <mergeCell ref="M45:O45"/>
    <mergeCell ref="M46:O46"/>
    <mergeCell ref="B37:J37"/>
    <mergeCell ref="B38:J38"/>
    <mergeCell ref="B39:J39"/>
    <mergeCell ref="B40:J40"/>
    <mergeCell ref="B41:J41"/>
    <mergeCell ref="B42:J42"/>
    <mergeCell ref="B43:J43"/>
    <mergeCell ref="M49:O49"/>
    <mergeCell ref="M50:O50"/>
    <mergeCell ref="B46:B47"/>
    <mergeCell ref="C46:E46"/>
    <mergeCell ref="F46:H46"/>
    <mergeCell ref="J46:K46"/>
    <mergeCell ref="J48:K48"/>
    <mergeCell ref="J49:K49"/>
    <mergeCell ref="J50:K50"/>
    <mergeCell ref="C1:H1"/>
    <mergeCell ref="I1:O1"/>
    <mergeCell ref="C2:E2"/>
    <mergeCell ref="F2:H2"/>
    <mergeCell ref="I2:J2"/>
    <mergeCell ref="K2:O2"/>
    <mergeCell ref="C3:E3"/>
    <mergeCell ref="K3:O3"/>
    <mergeCell ref="F3:H3"/>
    <mergeCell ref="I3:J3"/>
    <mergeCell ref="C4:E4"/>
    <mergeCell ref="F4:H4"/>
    <mergeCell ref="I4:J4"/>
    <mergeCell ref="K4:O4"/>
    <mergeCell ref="C5:E6"/>
    <mergeCell ref="K5:O6"/>
    <mergeCell ref="F5:H6"/>
    <mergeCell ref="I5:J6"/>
    <mergeCell ref="B7:J7"/>
    <mergeCell ref="B8:J8"/>
    <mergeCell ref="B9:J9"/>
    <mergeCell ref="B10:J10"/>
    <mergeCell ref="B11:J11"/>
    <mergeCell ref="B12:J12"/>
    <mergeCell ref="B13:J13"/>
    <mergeCell ref="J14:K14"/>
    <mergeCell ref="J15:K15"/>
    <mergeCell ref="M15:O15"/>
    <mergeCell ref="J16:K16"/>
    <mergeCell ref="M16:O16"/>
    <mergeCell ref="J24:K24"/>
    <mergeCell ref="J25:K25"/>
    <mergeCell ref="M25:O25"/>
    <mergeCell ref="J26:K26"/>
    <mergeCell ref="M26:O26"/>
    <mergeCell ref="B17:J17"/>
    <mergeCell ref="B18:J18"/>
    <mergeCell ref="B19:J19"/>
    <mergeCell ref="B20:J20"/>
    <mergeCell ref="B21:J21"/>
    <mergeCell ref="B22:J22"/>
    <mergeCell ref="B23:J23"/>
    <mergeCell ref="J34:K34"/>
    <mergeCell ref="J35:K35"/>
    <mergeCell ref="M35:O35"/>
    <mergeCell ref="J36:K36"/>
    <mergeCell ref="M36:O36"/>
  </mergeCells>
  <dataValidations>
    <dataValidation type="custom" allowBlank="1" showDropDown="1" showInputMessage="1" showErrorMessage="1" prompt="Enter a number" sqref="K8:K12 O8:O13 K18:K22 O18:O23 K28:K32 O28:O33 K38:K42 O38:O43">
      <formula1>ISNUMBER(K8)</formula1>
    </dataValidation>
    <dataValidation type="list" allowBlank="1" showInputMessage="1" showErrorMessage="1" prompt="Click and enter a valid scale from the list of items. The valid scales are Letter, 0-100, 0-4, and None" sqref="B3">
      <formula1>"Letter,0-4,0-100,None"</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8.88"/>
    <col customWidth="1" min="3" max="8" width="6.38"/>
    <col customWidth="1" hidden="1" min="9" max="9" width="18.88"/>
    <col customWidth="1" min="10" max="10" width="18.88"/>
    <col customWidth="1" min="11" max="11" width="6.38"/>
    <col customWidth="1" hidden="1" min="12" max="12" width="18.88"/>
    <col customWidth="1" min="13" max="13" width="6.38"/>
    <col customWidth="1" hidden="1" min="14" max="14" width="6.38"/>
    <col customWidth="1" min="15" max="15" width="6.38"/>
  </cols>
  <sheetData>
    <row r="1" ht="15.75" customHeight="1">
      <c r="A1" s="58"/>
      <c r="B1" s="1"/>
      <c r="C1" s="71" t="s">
        <v>5</v>
      </c>
      <c r="I1" s="58" t="s">
        <v>6</v>
      </c>
      <c r="P1" s="72"/>
    </row>
    <row r="2" ht="15.75" customHeight="1">
      <c r="A2" s="58"/>
      <c r="B2" s="74" t="s">
        <v>50</v>
      </c>
      <c r="P2" s="72"/>
    </row>
    <row r="3" ht="15.75" customHeight="1">
      <c r="A3" s="73"/>
      <c r="B3" s="75" t="s">
        <v>51</v>
      </c>
      <c r="C3" s="59" t="s">
        <v>8</v>
      </c>
      <c r="F3" s="60" t="str">
        <f>'Getting Started'!$G$10</f>
        <v/>
      </c>
      <c r="I3" s="59" t="s">
        <v>9</v>
      </c>
      <c r="K3" s="60" t="str">
        <f>'Getting Started'!$I$10</f>
        <v/>
      </c>
      <c r="P3" s="40"/>
    </row>
    <row r="4" ht="15.75" customHeight="1">
      <c r="A4" s="73"/>
      <c r="B4" s="133" t="s">
        <v>72</v>
      </c>
      <c r="C4" s="59" t="s">
        <v>11</v>
      </c>
      <c r="F4" s="61" t="str">
        <f>'Getting Started'!$G$11</f>
        <v/>
      </c>
      <c r="I4" s="59" t="s">
        <v>12</v>
      </c>
      <c r="K4" s="60" t="str">
        <f>'Getting Started'!$I$11</f>
        <v/>
      </c>
      <c r="P4" s="40"/>
    </row>
    <row r="5" ht="15.75" customHeight="1">
      <c r="A5" s="73"/>
      <c r="B5" s="40" t="str">
        <f>J52</f>
        <v>Loading...</v>
      </c>
      <c r="C5" s="59" t="s">
        <v>13</v>
      </c>
      <c r="F5" s="60" t="str">
        <f>'Getting Started'!$G$12</f>
        <v/>
      </c>
      <c r="I5" s="59" t="s">
        <v>14</v>
      </c>
      <c r="K5" s="60" t="str">
        <f>'Getting Started'!$I$12</f>
        <v/>
      </c>
      <c r="P5" s="40"/>
    </row>
    <row r="6" ht="15.75" customHeight="1">
      <c r="A6" s="73"/>
      <c r="B6" s="133" t="s">
        <v>64</v>
      </c>
      <c r="P6" s="40"/>
    </row>
    <row r="7" ht="15.75" customHeight="1">
      <c r="A7" s="73"/>
      <c r="B7" s="40" t="str">
        <f>M52</f>
        <v>Loading...</v>
      </c>
      <c r="C7" s="59" t="s">
        <v>15</v>
      </c>
      <c r="F7" s="62" t="str">
        <f>'Getting Started'!$G$14</f>
        <v/>
      </c>
      <c r="I7" s="59" t="s">
        <v>16</v>
      </c>
      <c r="K7" s="60" t="str">
        <f>'Getting Started'!$I$14</f>
        <v/>
      </c>
      <c r="P7" s="40"/>
    </row>
    <row r="8" ht="15.75" customHeight="1">
      <c r="A8" s="73"/>
      <c r="B8" s="19" t="s">
        <v>84</v>
      </c>
      <c r="P8" s="40"/>
    </row>
    <row r="9" ht="31.5" customHeight="1">
      <c r="A9" s="40"/>
      <c r="B9" s="76" t="s">
        <v>53</v>
      </c>
      <c r="C9" s="8"/>
      <c r="D9" s="8"/>
      <c r="E9" s="8"/>
      <c r="F9" s="8"/>
      <c r="G9" s="8"/>
      <c r="H9" s="8"/>
      <c r="I9" s="8"/>
      <c r="J9" s="77"/>
      <c r="K9" s="78" t="s">
        <v>54</v>
      </c>
      <c r="L9" s="79" t="s">
        <v>55</v>
      </c>
      <c r="M9" s="80" t="s">
        <v>56</v>
      </c>
      <c r="N9" s="81"/>
      <c r="O9" s="82" t="s">
        <v>57</v>
      </c>
      <c r="P9" s="1"/>
    </row>
    <row r="10" ht="15.75" customHeight="1">
      <c r="A10" s="40"/>
      <c r="B10" s="83"/>
      <c r="J10" s="47"/>
      <c r="K10" s="84"/>
      <c r="L10" s="85"/>
      <c r="M10" s="86"/>
      <c r="N10" s="87"/>
      <c r="O10" s="88"/>
      <c r="P10" s="1"/>
    </row>
    <row r="11" ht="15.75" customHeight="1">
      <c r="A11" s="40"/>
      <c r="B11" s="141"/>
      <c r="J11" s="47"/>
      <c r="K11" s="84"/>
      <c r="L11" s="85" t="b">
        <v>0</v>
      </c>
      <c r="M11" s="86"/>
      <c r="N11" s="142"/>
      <c r="O11" s="88"/>
      <c r="P11" s="40"/>
    </row>
    <row r="12" ht="15.75" customHeight="1">
      <c r="A12" s="40"/>
      <c r="B12" s="141"/>
      <c r="J12" s="47"/>
      <c r="K12" s="84"/>
      <c r="L12" s="85" t="b">
        <v>0</v>
      </c>
      <c r="M12" s="86"/>
      <c r="N12" s="142"/>
      <c r="O12" s="144"/>
      <c r="P12" s="40"/>
    </row>
    <row r="13" ht="15.75" customHeight="1">
      <c r="A13" s="40"/>
      <c r="B13" s="141"/>
      <c r="J13" s="47"/>
      <c r="K13" s="145"/>
      <c r="L13" s="85" t="b">
        <v>0</v>
      </c>
      <c r="M13" s="146"/>
      <c r="N13" s="142"/>
      <c r="O13" s="144"/>
      <c r="P13" s="40"/>
    </row>
    <row r="14" ht="15.75" customHeight="1">
      <c r="A14" s="40"/>
      <c r="B14" s="141"/>
      <c r="J14" s="47"/>
      <c r="K14" s="145"/>
      <c r="L14" s="85" t="b">
        <v>0</v>
      </c>
      <c r="M14" s="146"/>
      <c r="N14" s="142"/>
      <c r="O14" s="144"/>
      <c r="P14" s="40"/>
    </row>
    <row r="15" ht="15.75" customHeight="1">
      <c r="A15" s="40"/>
      <c r="B15" s="89"/>
      <c r="C15" s="16"/>
      <c r="D15" s="16"/>
      <c r="E15" s="16"/>
      <c r="F15" s="16"/>
      <c r="G15" s="16"/>
      <c r="H15" s="16"/>
      <c r="I15" s="16"/>
      <c r="J15" s="90"/>
      <c r="K15" s="91"/>
      <c r="L15" s="154" t="b">
        <v>0</v>
      </c>
      <c r="M15" s="93"/>
      <c r="N15" s="94"/>
      <c r="O15" s="95"/>
      <c r="P15" s="40"/>
    </row>
    <row r="16" ht="15.75" customHeight="1">
      <c r="A16" s="40"/>
      <c r="B16" s="147" t="s">
        <v>73</v>
      </c>
      <c r="C16" s="151"/>
      <c r="D16" s="137"/>
      <c r="E16" s="137"/>
      <c r="F16" s="137"/>
      <c r="G16" s="137"/>
      <c r="H16" s="137"/>
      <c r="I16" s="1"/>
      <c r="J16" s="101" t="s">
        <v>85</v>
      </c>
      <c r="K16" s="102"/>
      <c r="L16" s="1"/>
      <c r="M16" s="1"/>
      <c r="N16" s="97"/>
      <c r="O16" s="97"/>
      <c r="P16" s="40"/>
    </row>
    <row r="17" ht="15.75" customHeight="1">
      <c r="A17" s="40"/>
      <c r="B17" s="96"/>
      <c r="C17" s="149"/>
      <c r="I17" s="100"/>
      <c r="J17" s="108" t="s">
        <v>63</v>
      </c>
      <c r="K17" s="109"/>
      <c r="L17" s="110"/>
      <c r="M17" s="111" t="s">
        <v>64</v>
      </c>
      <c r="N17" s="109"/>
      <c r="O17" s="102"/>
      <c r="P17" s="40"/>
    </row>
    <row r="18" ht="15.75" customHeight="1">
      <c r="A18" s="40"/>
      <c r="B18" s="4" t="s">
        <v>86</v>
      </c>
      <c r="C18" s="152"/>
      <c r="D18" s="140"/>
      <c r="E18" s="140"/>
      <c r="F18" s="140"/>
      <c r="G18" s="140"/>
      <c r="H18" s="140"/>
      <c r="I18" s="100"/>
      <c r="J18" s="117" t="str">
        <f t="array" ref="J18">GPA({K10:K15,M10:M15,O10:O15},1,2)</f>
        <v>Loading...</v>
      </c>
      <c r="K18" s="118"/>
      <c r="L18" s="110"/>
      <c r="M18" s="119" t="str">
        <f t="array" ref="M18">CREDITSSUM({K10:K15,M10:M15},1,2)</f>
        <v>Loading...</v>
      </c>
      <c r="N18" s="118"/>
      <c r="O18" s="120"/>
      <c r="P18" s="40"/>
    </row>
    <row r="19" ht="31.5" customHeight="1">
      <c r="A19" s="40"/>
      <c r="B19" s="76" t="s">
        <v>53</v>
      </c>
      <c r="C19" s="8"/>
      <c r="D19" s="8"/>
      <c r="E19" s="8"/>
      <c r="F19" s="8"/>
      <c r="G19" s="8"/>
      <c r="H19" s="8"/>
      <c r="I19" s="8"/>
      <c r="J19" s="77"/>
      <c r="K19" s="78" t="s">
        <v>54</v>
      </c>
      <c r="L19" s="79" t="s">
        <v>55</v>
      </c>
      <c r="M19" s="80" t="s">
        <v>56</v>
      </c>
      <c r="N19" s="81"/>
      <c r="O19" s="82" t="s">
        <v>57</v>
      </c>
      <c r="P19" s="1"/>
    </row>
    <row r="20" ht="15.75" customHeight="1">
      <c r="A20" s="40"/>
      <c r="B20" s="83"/>
      <c r="J20" s="47"/>
      <c r="K20" s="84"/>
      <c r="L20" s="85"/>
      <c r="M20" s="86"/>
      <c r="N20" s="87"/>
      <c r="O20" s="88"/>
      <c r="P20" s="1"/>
    </row>
    <row r="21" ht="15.75" customHeight="1">
      <c r="A21" s="40"/>
      <c r="B21" s="141"/>
      <c r="J21" s="47"/>
      <c r="K21" s="84"/>
      <c r="L21" s="85" t="b">
        <v>0</v>
      </c>
      <c r="M21" s="86"/>
      <c r="N21" s="142"/>
      <c r="O21" s="88"/>
      <c r="P21" s="40"/>
    </row>
    <row r="22" ht="15.75" customHeight="1">
      <c r="A22" s="40"/>
      <c r="B22" s="141"/>
      <c r="J22" s="47"/>
      <c r="K22" s="84"/>
      <c r="L22" s="143" t="b">
        <v>0</v>
      </c>
      <c r="M22" s="86"/>
      <c r="N22" s="142"/>
      <c r="O22" s="144"/>
      <c r="P22" s="40"/>
    </row>
    <row r="23" ht="15.75" customHeight="1">
      <c r="A23" s="40"/>
      <c r="B23" s="141"/>
      <c r="J23" s="47"/>
      <c r="K23" s="145"/>
      <c r="L23" s="143" t="b">
        <v>0</v>
      </c>
      <c r="M23" s="146"/>
      <c r="N23" s="142"/>
      <c r="O23" s="144"/>
      <c r="P23" s="40"/>
    </row>
    <row r="24" ht="15.75" customHeight="1">
      <c r="A24" s="40"/>
      <c r="B24" s="141"/>
      <c r="J24" s="47"/>
      <c r="K24" s="145"/>
      <c r="L24" s="85" t="b">
        <v>0</v>
      </c>
      <c r="M24" s="146"/>
      <c r="N24" s="142"/>
      <c r="O24" s="144"/>
      <c r="P24" s="40"/>
    </row>
    <row r="25" ht="15.75" customHeight="1">
      <c r="A25" s="40"/>
      <c r="B25" s="89"/>
      <c r="C25" s="16"/>
      <c r="D25" s="16"/>
      <c r="E25" s="16"/>
      <c r="F25" s="16"/>
      <c r="G25" s="16"/>
      <c r="H25" s="16"/>
      <c r="I25" s="16"/>
      <c r="J25" s="90"/>
      <c r="K25" s="91"/>
      <c r="L25" s="92" t="b">
        <v>0</v>
      </c>
      <c r="M25" s="93"/>
      <c r="N25" s="94"/>
      <c r="O25" s="95"/>
      <c r="P25" s="40"/>
    </row>
    <row r="26" ht="15.75" customHeight="1">
      <c r="A26" s="40"/>
      <c r="B26" s="147" t="s">
        <v>73</v>
      </c>
      <c r="C26" s="151"/>
      <c r="D26" s="137"/>
      <c r="E26" s="137"/>
      <c r="F26" s="137"/>
      <c r="G26" s="137"/>
      <c r="H26" s="137"/>
      <c r="I26" s="1"/>
      <c r="J26" s="101" t="s">
        <v>87</v>
      </c>
      <c r="K26" s="102"/>
      <c r="L26" s="1"/>
      <c r="M26" s="1"/>
      <c r="N26" s="97"/>
      <c r="O26" s="97"/>
      <c r="P26" s="40"/>
    </row>
    <row r="27" ht="15.75" customHeight="1">
      <c r="A27" s="40"/>
      <c r="B27" s="96"/>
      <c r="C27" s="149"/>
      <c r="I27" s="100"/>
      <c r="J27" s="108" t="s">
        <v>63</v>
      </c>
      <c r="K27" s="109"/>
      <c r="L27" s="110"/>
      <c r="M27" s="111" t="s">
        <v>64</v>
      </c>
      <c r="N27" s="109"/>
      <c r="O27" s="102"/>
      <c r="P27" s="40"/>
    </row>
    <row r="28" ht="15.75" customHeight="1">
      <c r="A28" s="40"/>
      <c r="B28" s="19" t="s">
        <v>88</v>
      </c>
      <c r="C28" s="152"/>
      <c r="D28" s="140"/>
      <c r="E28" s="140"/>
      <c r="F28" s="140"/>
      <c r="G28" s="140"/>
      <c r="H28" s="140"/>
      <c r="I28" s="100"/>
      <c r="J28" s="117" t="str">
        <f t="array" ref="J28">GPA({K20:K25,M20:M25,O20:O25},1,2)</f>
        <v>Loading...</v>
      </c>
      <c r="K28" s="118"/>
      <c r="L28" s="110"/>
      <c r="M28" s="119" t="str">
        <f t="array" ref="M28">CREDITSSUM({K20:K25,M20:M25},1,2)</f>
        <v>Loading...</v>
      </c>
      <c r="N28" s="118"/>
      <c r="O28" s="120"/>
      <c r="P28" s="40"/>
    </row>
    <row r="29" ht="31.5" customHeight="1">
      <c r="A29" s="40"/>
      <c r="B29" s="76" t="s">
        <v>53</v>
      </c>
      <c r="C29" s="8"/>
      <c r="D29" s="8"/>
      <c r="E29" s="8"/>
      <c r="F29" s="8"/>
      <c r="G29" s="8"/>
      <c r="H29" s="8"/>
      <c r="I29" s="8"/>
      <c r="J29" s="77"/>
      <c r="K29" s="78" t="s">
        <v>54</v>
      </c>
      <c r="L29" s="79" t="s">
        <v>55</v>
      </c>
      <c r="M29" s="80" t="s">
        <v>56</v>
      </c>
      <c r="N29" s="81"/>
      <c r="O29" s="82" t="s">
        <v>57</v>
      </c>
      <c r="P29" s="1"/>
    </row>
    <row r="30" ht="15.75" customHeight="1">
      <c r="A30" s="40"/>
      <c r="B30" s="83"/>
      <c r="J30" s="47"/>
      <c r="K30" s="84"/>
      <c r="L30" s="85"/>
      <c r="M30" s="86"/>
      <c r="N30" s="87"/>
      <c r="O30" s="88"/>
      <c r="P30" s="1"/>
    </row>
    <row r="31" ht="15.75" customHeight="1">
      <c r="A31" s="40"/>
      <c r="B31" s="141"/>
      <c r="J31" s="47"/>
      <c r="K31" s="84"/>
      <c r="L31" s="85" t="b">
        <v>0</v>
      </c>
      <c r="M31" s="86"/>
      <c r="N31" s="142"/>
      <c r="O31" s="88"/>
      <c r="P31" s="40"/>
    </row>
    <row r="32" ht="15.75" customHeight="1">
      <c r="A32" s="40"/>
      <c r="B32" s="141"/>
      <c r="J32" s="47"/>
      <c r="K32" s="84"/>
      <c r="L32" s="143" t="b">
        <v>0</v>
      </c>
      <c r="M32" s="86"/>
      <c r="N32" s="142"/>
      <c r="O32" s="144"/>
      <c r="P32" s="40"/>
    </row>
    <row r="33" ht="15.75" customHeight="1">
      <c r="A33" s="40"/>
      <c r="B33" s="141"/>
      <c r="J33" s="47"/>
      <c r="K33" s="145"/>
      <c r="L33" s="143" t="b">
        <v>0</v>
      </c>
      <c r="M33" s="146"/>
      <c r="N33" s="142"/>
      <c r="O33" s="144"/>
      <c r="P33" s="40"/>
    </row>
    <row r="34" ht="15.75" customHeight="1">
      <c r="A34" s="40"/>
      <c r="B34" s="141"/>
      <c r="J34" s="47"/>
      <c r="K34" s="145"/>
      <c r="L34" s="85" t="b">
        <v>0</v>
      </c>
      <c r="M34" s="146"/>
      <c r="N34" s="142"/>
      <c r="O34" s="144"/>
      <c r="P34" s="40"/>
    </row>
    <row r="35" ht="15.75" customHeight="1">
      <c r="A35" s="40"/>
      <c r="B35" s="89"/>
      <c r="C35" s="16"/>
      <c r="D35" s="16"/>
      <c r="E35" s="16"/>
      <c r="F35" s="16"/>
      <c r="G35" s="16"/>
      <c r="H35" s="16"/>
      <c r="I35" s="16"/>
      <c r="J35" s="90"/>
      <c r="K35" s="91"/>
      <c r="L35" s="92" t="b">
        <v>0</v>
      </c>
      <c r="M35" s="93"/>
      <c r="N35" s="94"/>
      <c r="O35" s="95"/>
      <c r="P35" s="40"/>
    </row>
    <row r="36" ht="15.75" customHeight="1">
      <c r="A36" s="40"/>
      <c r="B36" s="147" t="s">
        <v>73</v>
      </c>
      <c r="C36" s="151"/>
      <c r="D36" s="137"/>
      <c r="E36" s="137"/>
      <c r="F36" s="137"/>
      <c r="G36" s="137"/>
      <c r="H36" s="137"/>
      <c r="I36" s="1"/>
      <c r="J36" s="101" t="s">
        <v>89</v>
      </c>
      <c r="K36" s="102"/>
      <c r="L36" s="1"/>
      <c r="M36" s="1"/>
      <c r="N36" s="97"/>
      <c r="O36" s="97"/>
      <c r="P36" s="40"/>
    </row>
    <row r="37" ht="15.75" customHeight="1">
      <c r="A37" s="40"/>
      <c r="B37" s="96"/>
      <c r="C37" s="149"/>
      <c r="I37" s="100"/>
      <c r="J37" s="108" t="s">
        <v>63</v>
      </c>
      <c r="K37" s="109"/>
      <c r="L37" s="110"/>
      <c r="M37" s="111" t="s">
        <v>64</v>
      </c>
      <c r="N37" s="109"/>
      <c r="O37" s="102"/>
      <c r="P37" s="40"/>
    </row>
    <row r="38" ht="15.75" customHeight="1">
      <c r="A38" s="40"/>
      <c r="B38" s="19" t="s">
        <v>90</v>
      </c>
      <c r="C38" s="152"/>
      <c r="D38" s="140"/>
      <c r="E38" s="140"/>
      <c r="F38" s="140"/>
      <c r="G38" s="140"/>
      <c r="H38" s="140"/>
      <c r="I38" s="100"/>
      <c r="J38" s="117" t="str">
        <f t="array" ref="J38">GPA({K30:K35,M30:M35,O30:O35},1,2)</f>
        <v>Loading...</v>
      </c>
      <c r="K38" s="118"/>
      <c r="L38" s="110"/>
      <c r="M38" s="119" t="str">
        <f t="array" ref="M38">CREDITSSUM({K30:K35,M30:M35},1,2)</f>
        <v>Loading...</v>
      </c>
      <c r="N38" s="118"/>
      <c r="O38" s="120"/>
      <c r="P38" s="40"/>
    </row>
    <row r="39" ht="31.5" customHeight="1">
      <c r="A39" s="40"/>
      <c r="B39" s="76" t="s">
        <v>53</v>
      </c>
      <c r="C39" s="8"/>
      <c r="D39" s="8"/>
      <c r="E39" s="8"/>
      <c r="F39" s="8"/>
      <c r="G39" s="8"/>
      <c r="H39" s="8"/>
      <c r="I39" s="8"/>
      <c r="J39" s="77"/>
      <c r="K39" s="78" t="s">
        <v>54</v>
      </c>
      <c r="L39" s="79" t="s">
        <v>55</v>
      </c>
      <c r="M39" s="80" t="s">
        <v>56</v>
      </c>
      <c r="N39" s="81"/>
      <c r="O39" s="82" t="s">
        <v>57</v>
      </c>
      <c r="P39" s="1"/>
    </row>
    <row r="40" ht="15.75" customHeight="1">
      <c r="A40" s="40"/>
      <c r="B40" s="83"/>
      <c r="J40" s="47"/>
      <c r="K40" s="84"/>
      <c r="L40" s="85"/>
      <c r="M40" s="86"/>
      <c r="N40" s="87"/>
      <c r="O40" s="88"/>
      <c r="P40" s="1"/>
    </row>
    <row r="41" ht="15.75" customHeight="1">
      <c r="A41" s="40"/>
      <c r="B41" s="141"/>
      <c r="J41" s="47"/>
      <c r="K41" s="84"/>
      <c r="L41" s="85" t="b">
        <v>0</v>
      </c>
      <c r="M41" s="86"/>
      <c r="N41" s="142"/>
      <c r="O41" s="88"/>
      <c r="P41" s="40"/>
    </row>
    <row r="42" ht="15.75" customHeight="1">
      <c r="A42" s="40"/>
      <c r="B42" s="141"/>
      <c r="J42" s="47"/>
      <c r="K42" s="84"/>
      <c r="L42" s="143" t="b">
        <v>0</v>
      </c>
      <c r="M42" s="86"/>
      <c r="N42" s="142"/>
      <c r="O42" s="144"/>
      <c r="P42" s="40"/>
    </row>
    <row r="43" ht="15.75" customHeight="1">
      <c r="A43" s="40"/>
      <c r="B43" s="141"/>
      <c r="J43" s="47"/>
      <c r="K43" s="145"/>
      <c r="L43" s="143" t="b">
        <v>0</v>
      </c>
      <c r="M43" s="146"/>
      <c r="N43" s="142"/>
      <c r="O43" s="144"/>
      <c r="P43" s="40"/>
    </row>
    <row r="44" ht="15.75" customHeight="1">
      <c r="A44" s="40"/>
      <c r="B44" s="141"/>
      <c r="J44" s="47"/>
      <c r="K44" s="145"/>
      <c r="L44" s="85" t="b">
        <v>0</v>
      </c>
      <c r="M44" s="146"/>
      <c r="N44" s="142"/>
      <c r="O44" s="144"/>
      <c r="P44" s="40"/>
    </row>
    <row r="45" ht="15.75" customHeight="1">
      <c r="A45" s="40"/>
      <c r="B45" s="89"/>
      <c r="C45" s="16"/>
      <c r="D45" s="16"/>
      <c r="E45" s="16"/>
      <c r="F45" s="16"/>
      <c r="G45" s="16"/>
      <c r="H45" s="16"/>
      <c r="I45" s="16"/>
      <c r="J45" s="90"/>
      <c r="K45" s="91"/>
      <c r="L45" s="92" t="b">
        <v>0</v>
      </c>
      <c r="M45" s="93"/>
      <c r="N45" s="94"/>
      <c r="O45" s="95"/>
      <c r="P45" s="40"/>
    </row>
    <row r="46" ht="15.75" customHeight="1">
      <c r="A46" s="40"/>
      <c r="B46" s="147" t="s">
        <v>73</v>
      </c>
      <c r="C46" s="148"/>
      <c r="I46" s="1"/>
      <c r="J46" s="101" t="s">
        <v>91</v>
      </c>
      <c r="K46" s="102"/>
      <c r="L46" s="1"/>
      <c r="M46" s="1"/>
      <c r="N46" s="97"/>
      <c r="O46" s="97"/>
      <c r="P46" s="40"/>
    </row>
    <row r="47" ht="15.75" customHeight="1">
      <c r="A47" s="40"/>
      <c r="C47" s="149"/>
      <c r="I47" s="100"/>
      <c r="J47" s="108" t="s">
        <v>63</v>
      </c>
      <c r="K47" s="109"/>
      <c r="L47" s="110"/>
      <c r="M47" s="111" t="s">
        <v>64</v>
      </c>
      <c r="N47" s="109"/>
      <c r="O47" s="102"/>
      <c r="P47" s="40"/>
    </row>
    <row r="48" ht="15.75" customHeight="1">
      <c r="A48" s="40"/>
      <c r="B48" s="98" t="s">
        <v>58</v>
      </c>
      <c r="C48" s="149"/>
      <c r="I48" s="100"/>
      <c r="J48" s="117" t="str">
        <f t="array" ref="J48">GPA({K40:K45,M40:M45,O40:O45},1,2)</f>
        <v>Loading...</v>
      </c>
      <c r="K48" s="118"/>
      <c r="L48" s="110"/>
      <c r="M48" s="119" t="str">
        <f t="array" ref="M48">CREDITSSUM({K40:K45,M40:M45},1,2)</f>
        <v>Loading...</v>
      </c>
      <c r="N48" s="118"/>
      <c r="O48" s="120"/>
      <c r="P48" s="40"/>
    </row>
    <row r="49" ht="15.75" customHeight="1">
      <c r="A49" s="40"/>
      <c r="B49" s="103" t="s">
        <v>60</v>
      </c>
      <c r="C49" s="104" t="s">
        <v>61</v>
      </c>
      <c r="D49" s="105"/>
      <c r="E49" s="106"/>
      <c r="F49" s="155" t="s">
        <v>62</v>
      </c>
      <c r="G49" s="105"/>
      <c r="H49" s="107"/>
      <c r="I49" s="110"/>
      <c r="J49" s="1"/>
      <c r="K49" s="1"/>
      <c r="L49" s="1"/>
      <c r="M49" s="1"/>
      <c r="N49" s="1"/>
      <c r="O49" s="1"/>
      <c r="P49" s="40"/>
    </row>
    <row r="50" ht="15.75" customHeight="1">
      <c r="A50" s="40"/>
      <c r="B50" s="112"/>
      <c r="C50" s="113" t="s">
        <v>65</v>
      </c>
      <c r="D50" s="114" t="s">
        <v>66</v>
      </c>
      <c r="E50" s="115" t="s">
        <v>67</v>
      </c>
      <c r="F50" s="113" t="s">
        <v>65</v>
      </c>
      <c r="G50" s="114" t="s">
        <v>66</v>
      </c>
      <c r="H50" s="116" t="s">
        <v>67</v>
      </c>
      <c r="I50" s="110"/>
      <c r="J50" s="101" t="s">
        <v>59</v>
      </c>
      <c r="K50" s="102"/>
      <c r="L50" s="1"/>
      <c r="M50" s="1"/>
      <c r="N50" s="97"/>
      <c r="O50" s="97"/>
      <c r="P50" s="40"/>
    </row>
    <row r="51" ht="15.75" customHeight="1">
      <c r="A51" s="40"/>
      <c r="B51" s="132" t="s">
        <v>68</v>
      </c>
      <c r="C51" s="122"/>
      <c r="D51" s="84"/>
      <c r="E51" s="123"/>
      <c r="F51" s="86"/>
      <c r="G51" s="84"/>
      <c r="H51" s="124"/>
      <c r="I51" s="110"/>
      <c r="J51" s="108" t="s">
        <v>63</v>
      </c>
      <c r="K51" s="109"/>
      <c r="L51" s="110"/>
      <c r="M51" s="111" t="s">
        <v>64</v>
      </c>
      <c r="N51" s="109"/>
      <c r="O51" s="102"/>
      <c r="P51" s="40"/>
    </row>
    <row r="52" ht="15.75" customHeight="1">
      <c r="A52" s="40"/>
      <c r="B52" s="132" t="s">
        <v>69</v>
      </c>
      <c r="C52" s="122"/>
      <c r="D52" s="84"/>
      <c r="E52" s="123"/>
      <c r="F52" s="86"/>
      <c r="G52" s="84"/>
      <c r="H52" s="124"/>
      <c r="I52" s="110"/>
      <c r="J52" s="117" t="str">
        <f t="array" ref="J52">GPA({K10:K15,M10:M15,O10:O15;K20:K25,M20:M25,O20:O25;K30:K35,M30:M35,O30:O35;K40:K45,M40:M45,O40:O45},1,2)</f>
        <v>Loading...</v>
      </c>
      <c r="K52" s="118"/>
      <c r="L52" s="110"/>
      <c r="M52" s="119" t="str">
        <f t="array" ref="M52">CREDITSSUM({K10:K15,M10:M15;K20:K25,M20:M25;K30:K35,M30:M35;K40:K45,M40:M45},1,2)</f>
        <v>Loading...</v>
      </c>
      <c r="N52" s="118"/>
      <c r="O52" s="120"/>
      <c r="P52" s="40"/>
    </row>
    <row r="53" ht="15.75" customHeight="1">
      <c r="A53" s="40"/>
      <c r="B53" s="121" t="s">
        <v>70</v>
      </c>
      <c r="C53" s="122"/>
      <c r="D53" s="84"/>
      <c r="E53" s="123"/>
      <c r="F53" s="86"/>
      <c r="G53" s="84"/>
      <c r="H53" s="124"/>
      <c r="I53" s="97"/>
      <c r="J53" s="97"/>
      <c r="K53" s="97"/>
      <c r="L53" s="131"/>
      <c r="M53" s="97"/>
      <c r="N53" s="97"/>
      <c r="O53" s="97"/>
      <c r="P53" s="40"/>
    </row>
    <row r="54" ht="15.75" customHeight="1">
      <c r="A54" s="40"/>
      <c r="B54" s="125" t="s">
        <v>71</v>
      </c>
      <c r="C54" s="126"/>
      <c r="D54" s="127"/>
      <c r="E54" s="128"/>
      <c r="F54" s="129"/>
      <c r="G54" s="127"/>
      <c r="H54" s="130"/>
      <c r="I54" s="97"/>
      <c r="J54" s="97"/>
      <c r="K54" s="97"/>
      <c r="L54" s="131"/>
      <c r="M54" s="97"/>
      <c r="N54" s="97"/>
      <c r="O54" s="97"/>
      <c r="P54" s="40"/>
    </row>
    <row r="55" ht="15.75" customHeight="1">
      <c r="A55" s="40"/>
      <c r="B55" s="96"/>
      <c r="C55" s="97"/>
      <c r="D55" s="97"/>
      <c r="E55" s="97"/>
      <c r="F55" s="97"/>
      <c r="G55" s="97"/>
      <c r="H55" s="97"/>
      <c r="I55" s="97"/>
      <c r="J55" s="97"/>
      <c r="K55" s="97"/>
      <c r="L55" s="131"/>
      <c r="M55" s="97"/>
      <c r="N55" s="97"/>
      <c r="O55" s="97"/>
      <c r="P55" s="40"/>
    </row>
  </sheetData>
  <mergeCells count="78">
    <mergeCell ref="C36:H38"/>
    <mergeCell ref="J36:K36"/>
    <mergeCell ref="J37:K37"/>
    <mergeCell ref="M37:O37"/>
    <mergeCell ref="J38:K38"/>
    <mergeCell ref="M38:O38"/>
    <mergeCell ref="B39:J39"/>
    <mergeCell ref="J46:K46"/>
    <mergeCell ref="J47:K47"/>
    <mergeCell ref="M47:O47"/>
    <mergeCell ref="J48:K48"/>
    <mergeCell ref="M48:O48"/>
    <mergeCell ref="B49:B50"/>
    <mergeCell ref="C49:E49"/>
    <mergeCell ref="F49:H49"/>
    <mergeCell ref="J50:K50"/>
    <mergeCell ref="J51:K51"/>
    <mergeCell ref="M51:O51"/>
    <mergeCell ref="J52:K52"/>
    <mergeCell ref="M52:O52"/>
    <mergeCell ref="B40:J40"/>
    <mergeCell ref="B41:J41"/>
    <mergeCell ref="B42:J42"/>
    <mergeCell ref="B43:J43"/>
    <mergeCell ref="B44:J44"/>
    <mergeCell ref="B45:J45"/>
    <mergeCell ref="C46:H48"/>
    <mergeCell ref="C1:H2"/>
    <mergeCell ref="I1:O2"/>
    <mergeCell ref="C3:E3"/>
    <mergeCell ref="F3:H3"/>
    <mergeCell ref="I3:J3"/>
    <mergeCell ref="K3:O3"/>
    <mergeCell ref="C4:E4"/>
    <mergeCell ref="K4:O4"/>
    <mergeCell ref="F4:H4"/>
    <mergeCell ref="I4:J4"/>
    <mergeCell ref="C5:E6"/>
    <mergeCell ref="F5:H6"/>
    <mergeCell ref="I5:J6"/>
    <mergeCell ref="K5:O6"/>
    <mergeCell ref="C7:E8"/>
    <mergeCell ref="K7:O8"/>
    <mergeCell ref="F7:H8"/>
    <mergeCell ref="I7:J8"/>
    <mergeCell ref="B9:J9"/>
    <mergeCell ref="B10:J10"/>
    <mergeCell ref="B11:J11"/>
    <mergeCell ref="B12:J12"/>
    <mergeCell ref="B13:J13"/>
    <mergeCell ref="B14:J14"/>
    <mergeCell ref="B15:J15"/>
    <mergeCell ref="C16:H18"/>
    <mergeCell ref="J16:K16"/>
    <mergeCell ref="J17:K17"/>
    <mergeCell ref="M17:O17"/>
    <mergeCell ref="M18:O18"/>
    <mergeCell ref="J18:K18"/>
    <mergeCell ref="B19:J19"/>
    <mergeCell ref="B20:J20"/>
    <mergeCell ref="B21:J21"/>
    <mergeCell ref="B22:J22"/>
    <mergeCell ref="B23:J23"/>
    <mergeCell ref="B24:J24"/>
    <mergeCell ref="B25:J25"/>
    <mergeCell ref="C26:H28"/>
    <mergeCell ref="J26:K26"/>
    <mergeCell ref="J27:K27"/>
    <mergeCell ref="M27:O27"/>
    <mergeCell ref="J28:K28"/>
    <mergeCell ref="M28:O28"/>
    <mergeCell ref="B29:J29"/>
    <mergeCell ref="B30:J30"/>
    <mergeCell ref="B31:J31"/>
    <mergeCell ref="B32:J32"/>
    <mergeCell ref="B33:J33"/>
    <mergeCell ref="B34:J34"/>
    <mergeCell ref="B35:J35"/>
  </mergeCells>
  <dataValidations>
    <dataValidation type="custom" allowBlank="1" showDropDown="1" showInputMessage="1" showErrorMessage="1" prompt="Enter a number" sqref="K10:K14 O10:O15 K20:K24 O20:O25 K30:K34 O30:O35 K40:K44 O40:O45">
      <formula1>ISNUMBER(K10)</formula1>
    </dataValidation>
    <dataValidation type="list" allowBlank="1" showInputMessage="1" showErrorMessage="1" prompt="Click and enter a valid scale from the list of items. The valid scales are Letter, 0-100, 0-4, and None" sqref="B3">
      <formula1>"Letter,0-4,0-100,None"</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8.88"/>
    <col customWidth="1" min="3" max="8" width="6.38"/>
    <col customWidth="1" hidden="1" min="9" max="9" width="18.88"/>
    <col customWidth="1" min="10" max="10" width="18.88"/>
    <col customWidth="1" min="11" max="11" width="6.38"/>
    <col customWidth="1" hidden="1" min="12" max="12" width="18.88"/>
    <col customWidth="1" min="13" max="13" width="6.38"/>
    <col customWidth="1" hidden="1" min="14" max="14" width="6.38"/>
    <col customWidth="1" min="15" max="15" width="6.38"/>
  </cols>
  <sheetData>
    <row r="1" ht="15.75" customHeight="1">
      <c r="A1" s="58"/>
      <c r="B1" s="1"/>
      <c r="C1" s="71" t="s">
        <v>5</v>
      </c>
      <c r="I1" s="58" t="s">
        <v>6</v>
      </c>
      <c r="P1" s="72"/>
    </row>
    <row r="2" ht="15.75" customHeight="1">
      <c r="A2" s="58"/>
      <c r="B2" s="74" t="s">
        <v>50</v>
      </c>
      <c r="P2" s="72"/>
    </row>
    <row r="3" ht="15.75" customHeight="1">
      <c r="A3" s="73"/>
      <c r="B3" s="75" t="s">
        <v>51</v>
      </c>
      <c r="C3" s="59" t="s">
        <v>8</v>
      </c>
      <c r="F3" s="60" t="str">
        <f>'Getting Started'!$G$10</f>
        <v/>
      </c>
      <c r="I3" s="59" t="s">
        <v>9</v>
      </c>
      <c r="K3" s="60" t="str">
        <f>'Getting Started'!$I$10</f>
        <v/>
      </c>
      <c r="P3" s="40"/>
    </row>
    <row r="4" ht="15.75" customHeight="1">
      <c r="A4" s="73"/>
      <c r="B4" s="133" t="s">
        <v>72</v>
      </c>
      <c r="C4" s="59" t="s">
        <v>11</v>
      </c>
      <c r="F4" s="61" t="str">
        <f>'Getting Started'!$G$11</f>
        <v/>
      </c>
      <c r="I4" s="59" t="s">
        <v>12</v>
      </c>
      <c r="K4" s="60" t="str">
        <f>'Getting Started'!$I$11</f>
        <v/>
      </c>
      <c r="P4" s="40"/>
    </row>
    <row r="5" ht="15.75" customHeight="1">
      <c r="A5" s="73"/>
      <c r="B5" s="40" t="str">
        <f t="array" ref="B5">GPA({'9th Grade (Quarter)'!K10:K15,'9th Grade (Quarter)'!M10:M15,'9th Grade (Quarter)'!O10:O15;'9th Grade (Quarter)'!K20:K25,'9th Grade (Quarter)'!M20:M25,'9th Grade (Quarter)'!O20:O25;'9th Grade (Quarter)'!K30:K35,'9th Grade (Quarter)'!M30:M35,'9th Grade (Quarter)'!O30:O35;'9th Grade (Quarter)'!K40:K45,'9th Grade (Quarter)'!M40:M45,'9th Grade (Quarter)'!O40:O45;K10:K15,M10:M15,O10:O15;K20:K25,M20:M25,O20:O25;K30:K35,M30:M35,O30:O35;K40:K45,M40:M45,O40:O45},1,2)</f>
        <v>Loading...</v>
      </c>
      <c r="C5" s="59" t="s">
        <v>13</v>
      </c>
      <c r="F5" s="60" t="str">
        <f>'Getting Started'!$G$12</f>
        <v/>
      </c>
      <c r="I5" s="59" t="s">
        <v>14</v>
      </c>
      <c r="K5" s="60" t="str">
        <f>'Getting Started'!$I$12</f>
        <v/>
      </c>
      <c r="P5" s="40"/>
    </row>
    <row r="6" ht="15.75" customHeight="1">
      <c r="A6" s="73"/>
      <c r="B6" s="133" t="s">
        <v>64</v>
      </c>
      <c r="P6" s="40"/>
    </row>
    <row r="7" ht="15.75" customHeight="1">
      <c r="A7" s="73"/>
      <c r="B7" s="40" t="str">
        <f>IF('9th Grade (Quarter)'!B7+M52 = 0, "", '9th Grade (Quarter)'!B7+M52)</f>
        <v>Loading...</v>
      </c>
      <c r="C7" s="59" t="s">
        <v>15</v>
      </c>
      <c r="F7" s="62" t="str">
        <f>'Getting Started'!$G$14</f>
        <v/>
      </c>
      <c r="I7" s="59" t="s">
        <v>16</v>
      </c>
      <c r="K7" s="60" t="str">
        <f>'Getting Started'!$I$14</f>
        <v/>
      </c>
      <c r="P7" s="40"/>
    </row>
    <row r="8" ht="15.75" customHeight="1">
      <c r="A8" s="73"/>
      <c r="B8" s="19" t="s">
        <v>84</v>
      </c>
      <c r="P8" s="40"/>
    </row>
    <row r="9" ht="31.5" customHeight="1">
      <c r="A9" s="40"/>
      <c r="B9" s="76" t="s">
        <v>53</v>
      </c>
      <c r="C9" s="8"/>
      <c r="D9" s="8"/>
      <c r="E9" s="8"/>
      <c r="F9" s="8"/>
      <c r="G9" s="8"/>
      <c r="H9" s="8"/>
      <c r="I9" s="8"/>
      <c r="J9" s="77"/>
      <c r="K9" s="78" t="s">
        <v>54</v>
      </c>
      <c r="L9" s="79" t="s">
        <v>55</v>
      </c>
      <c r="M9" s="80" t="s">
        <v>56</v>
      </c>
      <c r="N9" s="81"/>
      <c r="O9" s="82" t="s">
        <v>57</v>
      </c>
      <c r="P9" s="1"/>
    </row>
    <row r="10" ht="15.75" customHeight="1">
      <c r="A10" s="40"/>
      <c r="B10" s="83"/>
      <c r="J10" s="47"/>
      <c r="K10" s="84"/>
      <c r="L10" s="85"/>
      <c r="M10" s="86"/>
      <c r="N10" s="87"/>
      <c r="O10" s="88"/>
      <c r="P10" s="1"/>
    </row>
    <row r="11" ht="15.75" customHeight="1">
      <c r="A11" s="40"/>
      <c r="B11" s="141"/>
      <c r="J11" s="47"/>
      <c r="K11" s="84"/>
      <c r="L11" s="85" t="b">
        <v>0</v>
      </c>
      <c r="M11" s="86"/>
      <c r="N11" s="142"/>
      <c r="O11" s="88"/>
      <c r="P11" s="40"/>
    </row>
    <row r="12" ht="15.75" customHeight="1">
      <c r="A12" s="40"/>
      <c r="B12" s="141"/>
      <c r="J12" s="47"/>
      <c r="K12" s="84"/>
      <c r="L12" s="143" t="b">
        <v>0</v>
      </c>
      <c r="M12" s="86"/>
      <c r="N12" s="142"/>
      <c r="O12" s="144"/>
      <c r="P12" s="40"/>
    </row>
    <row r="13" ht="15.75" customHeight="1">
      <c r="A13" s="40"/>
      <c r="B13" s="141"/>
      <c r="J13" s="47"/>
      <c r="K13" s="145"/>
      <c r="L13" s="85" t="b">
        <v>0</v>
      </c>
      <c r="M13" s="146"/>
      <c r="N13" s="142"/>
      <c r="O13" s="144"/>
      <c r="P13" s="40"/>
    </row>
    <row r="14" ht="15.75" customHeight="1">
      <c r="A14" s="40"/>
      <c r="B14" s="141"/>
      <c r="J14" s="47"/>
      <c r="K14" s="145"/>
      <c r="L14" s="85" t="b">
        <v>0</v>
      </c>
      <c r="M14" s="146"/>
      <c r="N14" s="142"/>
      <c r="O14" s="144"/>
      <c r="P14" s="40"/>
    </row>
    <row r="15" ht="15.75" customHeight="1">
      <c r="A15" s="40"/>
      <c r="B15" s="89"/>
      <c r="C15" s="16"/>
      <c r="D15" s="16"/>
      <c r="E15" s="16"/>
      <c r="F15" s="16"/>
      <c r="G15" s="16"/>
      <c r="H15" s="16"/>
      <c r="I15" s="16"/>
      <c r="J15" s="90"/>
      <c r="K15" s="91"/>
      <c r="L15" s="92" t="b">
        <v>0</v>
      </c>
      <c r="M15" s="93"/>
      <c r="N15" s="94"/>
      <c r="O15" s="95"/>
      <c r="P15" s="40"/>
    </row>
    <row r="16" ht="15.75" customHeight="1">
      <c r="A16" s="40"/>
      <c r="B16" s="147" t="s">
        <v>73</v>
      </c>
      <c r="C16" s="151"/>
      <c r="D16" s="137"/>
      <c r="E16" s="137"/>
      <c r="F16" s="137"/>
      <c r="G16" s="137"/>
      <c r="H16" s="137"/>
      <c r="I16" s="1"/>
      <c r="J16" s="101" t="s">
        <v>85</v>
      </c>
      <c r="K16" s="102"/>
      <c r="L16" s="1"/>
      <c r="M16" s="1"/>
      <c r="N16" s="97"/>
      <c r="O16" s="97"/>
      <c r="P16" s="40"/>
    </row>
    <row r="17" ht="15.75" customHeight="1">
      <c r="A17" s="40"/>
      <c r="B17" s="96"/>
      <c r="C17" s="149"/>
      <c r="I17" s="100"/>
      <c r="J17" s="108" t="s">
        <v>63</v>
      </c>
      <c r="K17" s="109"/>
      <c r="L17" s="110"/>
      <c r="M17" s="111" t="s">
        <v>64</v>
      </c>
      <c r="N17" s="109"/>
      <c r="O17" s="102"/>
      <c r="P17" s="40"/>
    </row>
    <row r="18" ht="15.75" customHeight="1">
      <c r="A18" s="40"/>
      <c r="B18" s="19" t="s">
        <v>86</v>
      </c>
      <c r="C18" s="152"/>
      <c r="D18" s="140"/>
      <c r="E18" s="140"/>
      <c r="F18" s="140"/>
      <c r="G18" s="140"/>
      <c r="H18" s="140"/>
      <c r="I18" s="100"/>
      <c r="J18" s="117" t="str">
        <f t="array" ref="J18">GPA({K10:K15,M10:M15,O10:O15},1,2)</f>
        <v>Loading...</v>
      </c>
      <c r="K18" s="118"/>
      <c r="L18" s="110"/>
      <c r="M18" s="119" t="str">
        <f t="array" ref="M18">CREDITSSUM({K10:K15,M10:M15},1,2)</f>
        <v>Loading...</v>
      </c>
      <c r="N18" s="118"/>
      <c r="O18" s="120"/>
      <c r="P18" s="40"/>
    </row>
    <row r="19" ht="31.5" customHeight="1">
      <c r="A19" s="40"/>
      <c r="B19" s="76" t="s">
        <v>53</v>
      </c>
      <c r="C19" s="8"/>
      <c r="D19" s="8"/>
      <c r="E19" s="8"/>
      <c r="F19" s="8"/>
      <c r="G19" s="8"/>
      <c r="H19" s="8"/>
      <c r="I19" s="8"/>
      <c r="J19" s="77"/>
      <c r="K19" s="78" t="s">
        <v>54</v>
      </c>
      <c r="L19" s="79" t="s">
        <v>55</v>
      </c>
      <c r="M19" s="80" t="s">
        <v>56</v>
      </c>
      <c r="N19" s="81"/>
      <c r="O19" s="82" t="s">
        <v>57</v>
      </c>
      <c r="P19" s="1"/>
    </row>
    <row r="20" ht="15.75" customHeight="1">
      <c r="A20" s="40"/>
      <c r="B20" s="83"/>
      <c r="J20" s="47"/>
      <c r="K20" s="84"/>
      <c r="L20" s="85"/>
      <c r="M20" s="86"/>
      <c r="N20" s="87"/>
      <c r="O20" s="88"/>
      <c r="P20" s="1"/>
    </row>
    <row r="21" ht="15.75" customHeight="1">
      <c r="A21" s="40"/>
      <c r="B21" s="141"/>
      <c r="J21" s="47"/>
      <c r="K21" s="84"/>
      <c r="L21" s="85" t="b">
        <v>0</v>
      </c>
      <c r="M21" s="86"/>
      <c r="N21" s="142"/>
      <c r="O21" s="88"/>
      <c r="P21" s="40"/>
    </row>
    <row r="22" ht="15.75" customHeight="1">
      <c r="A22" s="40"/>
      <c r="B22" s="141"/>
      <c r="J22" s="47"/>
      <c r="K22" s="84"/>
      <c r="L22" s="143" t="b">
        <v>0</v>
      </c>
      <c r="M22" s="86"/>
      <c r="N22" s="142"/>
      <c r="O22" s="144"/>
      <c r="P22" s="40"/>
    </row>
    <row r="23" ht="15.75" customHeight="1">
      <c r="A23" s="40"/>
      <c r="B23" s="141"/>
      <c r="J23" s="47"/>
      <c r="K23" s="145"/>
      <c r="L23" s="143" t="b">
        <v>0</v>
      </c>
      <c r="M23" s="146"/>
      <c r="N23" s="142"/>
      <c r="O23" s="144"/>
      <c r="P23" s="40"/>
    </row>
    <row r="24" ht="15.75" customHeight="1">
      <c r="A24" s="40"/>
      <c r="B24" s="141"/>
      <c r="J24" s="47"/>
      <c r="K24" s="145"/>
      <c r="L24" s="85" t="b">
        <v>0</v>
      </c>
      <c r="M24" s="146"/>
      <c r="N24" s="142"/>
      <c r="O24" s="144"/>
      <c r="P24" s="40"/>
    </row>
    <row r="25" ht="15.75" customHeight="1">
      <c r="A25" s="40"/>
      <c r="B25" s="89"/>
      <c r="C25" s="16"/>
      <c r="D25" s="16"/>
      <c r="E25" s="16"/>
      <c r="F25" s="16"/>
      <c r="G25" s="16"/>
      <c r="H25" s="16"/>
      <c r="I25" s="16"/>
      <c r="J25" s="90"/>
      <c r="K25" s="91"/>
      <c r="L25" s="92" t="b">
        <v>0</v>
      </c>
      <c r="M25" s="93"/>
      <c r="N25" s="94"/>
      <c r="O25" s="95"/>
      <c r="P25" s="40"/>
    </row>
    <row r="26" ht="15.75" customHeight="1">
      <c r="A26" s="40"/>
      <c r="B26" s="147" t="s">
        <v>73</v>
      </c>
      <c r="C26" s="151"/>
      <c r="D26" s="137"/>
      <c r="E26" s="137"/>
      <c r="F26" s="137"/>
      <c r="G26" s="137"/>
      <c r="H26" s="137"/>
      <c r="I26" s="1"/>
      <c r="J26" s="101" t="s">
        <v>87</v>
      </c>
      <c r="K26" s="102"/>
      <c r="L26" s="1"/>
      <c r="M26" s="1"/>
      <c r="N26" s="97"/>
      <c r="O26" s="97"/>
      <c r="P26" s="40"/>
    </row>
    <row r="27" ht="15.75" customHeight="1">
      <c r="A27" s="40"/>
      <c r="B27" s="96"/>
      <c r="C27" s="149"/>
      <c r="I27" s="100"/>
      <c r="J27" s="108" t="s">
        <v>63</v>
      </c>
      <c r="K27" s="109"/>
      <c r="L27" s="110"/>
      <c r="M27" s="111" t="s">
        <v>64</v>
      </c>
      <c r="N27" s="109"/>
      <c r="O27" s="102"/>
      <c r="P27" s="40"/>
    </row>
    <row r="28" ht="15.75" customHeight="1">
      <c r="A28" s="40"/>
      <c r="B28" s="19" t="s">
        <v>88</v>
      </c>
      <c r="C28" s="152"/>
      <c r="D28" s="140"/>
      <c r="E28" s="140"/>
      <c r="F28" s="140"/>
      <c r="G28" s="140"/>
      <c r="H28" s="140"/>
      <c r="I28" s="100"/>
      <c r="J28" s="117" t="str">
        <f t="array" ref="J28">GPA({K20:K25,M20:M25,O20:O25},1,2)</f>
        <v>Loading...</v>
      </c>
      <c r="K28" s="118"/>
      <c r="L28" s="110"/>
      <c r="M28" s="119" t="str">
        <f t="array" ref="M28">CREDITSSUM({K20:K25,M20:M25},1,2)</f>
        <v>Loading...</v>
      </c>
      <c r="N28" s="118"/>
      <c r="O28" s="120"/>
      <c r="P28" s="40"/>
    </row>
    <row r="29" ht="31.5" customHeight="1">
      <c r="A29" s="40"/>
      <c r="B29" s="76" t="s">
        <v>53</v>
      </c>
      <c r="C29" s="8"/>
      <c r="D29" s="8"/>
      <c r="E29" s="8"/>
      <c r="F29" s="8"/>
      <c r="G29" s="8"/>
      <c r="H29" s="8"/>
      <c r="I29" s="8"/>
      <c r="J29" s="77"/>
      <c r="K29" s="78" t="s">
        <v>54</v>
      </c>
      <c r="L29" s="79" t="s">
        <v>55</v>
      </c>
      <c r="M29" s="80" t="s">
        <v>56</v>
      </c>
      <c r="N29" s="81"/>
      <c r="O29" s="82" t="s">
        <v>57</v>
      </c>
      <c r="P29" s="1"/>
    </row>
    <row r="30" ht="15.75" customHeight="1">
      <c r="A30" s="40"/>
      <c r="B30" s="83"/>
      <c r="J30" s="47"/>
      <c r="K30" s="84"/>
      <c r="L30" s="85"/>
      <c r="M30" s="86"/>
      <c r="N30" s="87"/>
      <c r="O30" s="88"/>
      <c r="P30" s="1"/>
    </row>
    <row r="31" ht="15.75" customHeight="1">
      <c r="A31" s="40"/>
      <c r="B31" s="141"/>
      <c r="J31" s="47"/>
      <c r="K31" s="84"/>
      <c r="L31" s="85" t="b">
        <v>0</v>
      </c>
      <c r="M31" s="86"/>
      <c r="N31" s="142"/>
      <c r="O31" s="88"/>
      <c r="P31" s="40"/>
    </row>
    <row r="32" ht="15.75" customHeight="1">
      <c r="A32" s="40"/>
      <c r="B32" s="141"/>
      <c r="J32" s="47"/>
      <c r="K32" s="84"/>
      <c r="L32" s="143" t="b">
        <v>0</v>
      </c>
      <c r="M32" s="86"/>
      <c r="N32" s="142"/>
      <c r="O32" s="144"/>
      <c r="P32" s="40"/>
    </row>
    <row r="33" ht="15.75" customHeight="1">
      <c r="A33" s="40"/>
      <c r="B33" s="141"/>
      <c r="J33" s="47"/>
      <c r="K33" s="145"/>
      <c r="L33" s="143" t="b">
        <v>0</v>
      </c>
      <c r="M33" s="146"/>
      <c r="N33" s="142"/>
      <c r="O33" s="144"/>
      <c r="P33" s="40"/>
    </row>
    <row r="34" ht="15.75" customHeight="1">
      <c r="A34" s="40"/>
      <c r="B34" s="141"/>
      <c r="J34" s="47"/>
      <c r="K34" s="145"/>
      <c r="L34" s="85" t="b">
        <v>0</v>
      </c>
      <c r="M34" s="146"/>
      <c r="N34" s="142"/>
      <c r="O34" s="144"/>
      <c r="P34" s="40"/>
    </row>
    <row r="35" ht="15.75" customHeight="1">
      <c r="A35" s="40"/>
      <c r="B35" s="89"/>
      <c r="C35" s="16"/>
      <c r="D35" s="16"/>
      <c r="E35" s="16"/>
      <c r="F35" s="16"/>
      <c r="G35" s="16"/>
      <c r="H35" s="16"/>
      <c r="I35" s="16"/>
      <c r="J35" s="90"/>
      <c r="K35" s="91"/>
      <c r="L35" s="92" t="b">
        <v>0</v>
      </c>
      <c r="M35" s="93"/>
      <c r="N35" s="94"/>
      <c r="O35" s="95"/>
      <c r="P35" s="40"/>
    </row>
    <row r="36" ht="15.75" customHeight="1">
      <c r="A36" s="40"/>
      <c r="B36" s="147" t="s">
        <v>73</v>
      </c>
      <c r="C36" s="151"/>
      <c r="D36" s="137"/>
      <c r="E36" s="137"/>
      <c r="F36" s="137"/>
      <c r="G36" s="137"/>
      <c r="H36" s="137"/>
      <c r="I36" s="1"/>
      <c r="J36" s="101" t="s">
        <v>89</v>
      </c>
      <c r="K36" s="102"/>
      <c r="L36" s="1"/>
      <c r="M36" s="1"/>
      <c r="N36" s="97"/>
      <c r="O36" s="97"/>
      <c r="P36" s="40"/>
    </row>
    <row r="37" ht="15.75" customHeight="1">
      <c r="A37" s="40"/>
      <c r="B37" s="96"/>
      <c r="C37" s="149"/>
      <c r="I37" s="100"/>
      <c r="J37" s="108" t="s">
        <v>63</v>
      </c>
      <c r="K37" s="109"/>
      <c r="L37" s="110"/>
      <c r="M37" s="111" t="s">
        <v>64</v>
      </c>
      <c r="N37" s="109"/>
      <c r="O37" s="102"/>
      <c r="P37" s="40"/>
    </row>
    <row r="38" ht="15.75" customHeight="1">
      <c r="A38" s="40"/>
      <c r="B38" s="19" t="s">
        <v>90</v>
      </c>
      <c r="C38" s="152"/>
      <c r="D38" s="140"/>
      <c r="E38" s="140"/>
      <c r="F38" s="140"/>
      <c r="G38" s="140"/>
      <c r="H38" s="140"/>
      <c r="I38" s="100"/>
      <c r="J38" s="117" t="str">
        <f t="array" ref="J38">GPA({K30:K35,M30:M35,O30:O35},1,2)</f>
        <v>Loading...</v>
      </c>
      <c r="K38" s="118"/>
      <c r="L38" s="110"/>
      <c r="M38" s="119" t="str">
        <f t="array" ref="M38">CREDITSSUM({K30:K35,M30:M35},1,2)</f>
        <v>Loading...</v>
      </c>
      <c r="N38" s="118"/>
      <c r="O38" s="120"/>
      <c r="P38" s="40"/>
    </row>
    <row r="39" ht="31.5" customHeight="1">
      <c r="A39" s="40"/>
      <c r="B39" s="76" t="s">
        <v>53</v>
      </c>
      <c r="C39" s="8"/>
      <c r="D39" s="8"/>
      <c r="E39" s="8"/>
      <c r="F39" s="8"/>
      <c r="G39" s="8"/>
      <c r="H39" s="8"/>
      <c r="I39" s="8"/>
      <c r="J39" s="77"/>
      <c r="K39" s="78" t="s">
        <v>54</v>
      </c>
      <c r="L39" s="79" t="s">
        <v>55</v>
      </c>
      <c r="M39" s="80" t="s">
        <v>56</v>
      </c>
      <c r="N39" s="81"/>
      <c r="O39" s="82" t="s">
        <v>57</v>
      </c>
      <c r="P39" s="1"/>
    </row>
    <row r="40" ht="15.75" customHeight="1">
      <c r="A40" s="40"/>
      <c r="B40" s="83"/>
      <c r="J40" s="47"/>
      <c r="K40" s="84"/>
      <c r="L40" s="85"/>
      <c r="M40" s="86"/>
      <c r="N40" s="87"/>
      <c r="O40" s="88"/>
      <c r="P40" s="1"/>
    </row>
    <row r="41" ht="15.75" customHeight="1">
      <c r="A41" s="40"/>
      <c r="B41" s="141"/>
      <c r="J41" s="47"/>
      <c r="K41" s="84"/>
      <c r="L41" s="85" t="b">
        <v>0</v>
      </c>
      <c r="M41" s="86"/>
      <c r="N41" s="142"/>
      <c r="O41" s="88"/>
      <c r="P41" s="40"/>
    </row>
    <row r="42" ht="15.75" customHeight="1">
      <c r="A42" s="40"/>
      <c r="B42" s="141"/>
      <c r="J42" s="47"/>
      <c r="K42" s="84"/>
      <c r="L42" s="143" t="b">
        <v>0</v>
      </c>
      <c r="M42" s="86"/>
      <c r="N42" s="142"/>
      <c r="O42" s="144"/>
      <c r="P42" s="40"/>
    </row>
    <row r="43" ht="15.75" customHeight="1">
      <c r="A43" s="40"/>
      <c r="B43" s="141"/>
      <c r="J43" s="47"/>
      <c r="K43" s="145"/>
      <c r="L43" s="143" t="b">
        <v>0</v>
      </c>
      <c r="M43" s="146"/>
      <c r="N43" s="142"/>
      <c r="O43" s="144"/>
      <c r="P43" s="40"/>
    </row>
    <row r="44" ht="15.75" customHeight="1">
      <c r="A44" s="40"/>
      <c r="B44" s="141"/>
      <c r="J44" s="47"/>
      <c r="K44" s="145"/>
      <c r="L44" s="85" t="b">
        <v>0</v>
      </c>
      <c r="M44" s="146"/>
      <c r="N44" s="142"/>
      <c r="O44" s="144"/>
      <c r="P44" s="40"/>
    </row>
    <row r="45" ht="15.75" customHeight="1">
      <c r="A45" s="40"/>
      <c r="B45" s="89"/>
      <c r="C45" s="16"/>
      <c r="D45" s="16"/>
      <c r="E45" s="16"/>
      <c r="F45" s="16"/>
      <c r="G45" s="16"/>
      <c r="H45" s="16"/>
      <c r="I45" s="16"/>
      <c r="J45" s="90"/>
      <c r="K45" s="91"/>
      <c r="L45" s="92" t="b">
        <v>0</v>
      </c>
      <c r="M45" s="93"/>
      <c r="N45" s="94"/>
      <c r="O45" s="95"/>
      <c r="P45" s="40"/>
    </row>
    <row r="46" ht="15.75" customHeight="1">
      <c r="A46" s="40"/>
      <c r="B46" s="147" t="s">
        <v>73</v>
      </c>
      <c r="C46" s="148"/>
      <c r="I46" s="1"/>
      <c r="J46" s="101" t="s">
        <v>91</v>
      </c>
      <c r="K46" s="102"/>
      <c r="L46" s="1"/>
      <c r="M46" s="1"/>
      <c r="N46" s="97"/>
      <c r="O46" s="97"/>
      <c r="P46" s="40"/>
    </row>
    <row r="47" ht="15.75" customHeight="1">
      <c r="A47" s="40"/>
      <c r="C47" s="149"/>
      <c r="I47" s="100"/>
      <c r="J47" s="108" t="s">
        <v>63</v>
      </c>
      <c r="K47" s="109"/>
      <c r="L47" s="110"/>
      <c r="M47" s="111" t="s">
        <v>64</v>
      </c>
      <c r="N47" s="109"/>
      <c r="O47" s="102"/>
      <c r="P47" s="40"/>
    </row>
    <row r="48" ht="15.75" customHeight="1">
      <c r="A48" s="40"/>
      <c r="B48" s="98" t="s">
        <v>58</v>
      </c>
      <c r="C48" s="149"/>
      <c r="I48" s="100"/>
      <c r="J48" s="117" t="str">
        <f t="array" ref="J48">GPA({K40:K45,M40:M45,O40:O45},1,2)</f>
        <v>Loading...</v>
      </c>
      <c r="K48" s="118"/>
      <c r="L48" s="110"/>
      <c r="M48" s="119" t="str">
        <f t="array" ref="M48">CREDITSSUM({K40:K45,M40:M45},1,2)</f>
        <v>Loading...</v>
      </c>
      <c r="N48" s="118"/>
      <c r="O48" s="120"/>
      <c r="P48" s="40"/>
    </row>
    <row r="49" ht="15.75" customHeight="1">
      <c r="A49" s="40"/>
      <c r="B49" s="103" t="s">
        <v>60</v>
      </c>
      <c r="C49" s="104" t="s">
        <v>61</v>
      </c>
      <c r="D49" s="105"/>
      <c r="E49" s="106"/>
      <c r="F49" s="155" t="s">
        <v>62</v>
      </c>
      <c r="G49" s="105"/>
      <c r="H49" s="107"/>
      <c r="I49" s="110"/>
      <c r="J49" s="1"/>
      <c r="K49" s="1"/>
      <c r="L49" s="1"/>
      <c r="M49" s="1"/>
      <c r="N49" s="1"/>
      <c r="O49" s="1"/>
      <c r="P49" s="40"/>
    </row>
    <row r="50" ht="15.75" customHeight="1">
      <c r="A50" s="40"/>
      <c r="B50" s="112"/>
      <c r="C50" s="113" t="s">
        <v>65</v>
      </c>
      <c r="D50" s="114" t="s">
        <v>66</v>
      </c>
      <c r="E50" s="115" t="s">
        <v>67</v>
      </c>
      <c r="F50" s="113" t="s">
        <v>65</v>
      </c>
      <c r="G50" s="114" t="s">
        <v>66</v>
      </c>
      <c r="H50" s="116" t="s">
        <v>67</v>
      </c>
      <c r="I50" s="110"/>
      <c r="J50" s="101" t="s">
        <v>59</v>
      </c>
      <c r="K50" s="102"/>
      <c r="L50" s="1"/>
      <c r="M50" s="1"/>
      <c r="N50" s="97"/>
      <c r="O50" s="97"/>
      <c r="P50" s="40"/>
    </row>
    <row r="51" ht="15.75" customHeight="1">
      <c r="A51" s="40"/>
      <c r="B51" s="132" t="s">
        <v>68</v>
      </c>
      <c r="C51" s="122"/>
      <c r="D51" s="84"/>
      <c r="E51" s="123"/>
      <c r="F51" s="86"/>
      <c r="G51" s="84"/>
      <c r="H51" s="124"/>
      <c r="I51" s="110"/>
      <c r="J51" s="108" t="s">
        <v>63</v>
      </c>
      <c r="K51" s="109"/>
      <c r="L51" s="110"/>
      <c r="M51" s="111" t="s">
        <v>64</v>
      </c>
      <c r="N51" s="109"/>
      <c r="O51" s="102"/>
      <c r="P51" s="40"/>
    </row>
    <row r="52" ht="15.75" customHeight="1">
      <c r="A52" s="40"/>
      <c r="B52" s="132" t="s">
        <v>69</v>
      </c>
      <c r="C52" s="122"/>
      <c r="D52" s="84"/>
      <c r="E52" s="123"/>
      <c r="F52" s="86"/>
      <c r="G52" s="84"/>
      <c r="H52" s="124"/>
      <c r="I52" s="110"/>
      <c r="J52" s="117" t="str">
        <f t="array" ref="J52">GPA({K10:K15,M10:M15,O10:O15;K20:K25,M20:M25,O20:O25;K30:K35,M30:M35,O30:O35;K40:K45,M40:M45,O40:O45},1,2)</f>
        <v>Loading...</v>
      </c>
      <c r="K52" s="118"/>
      <c r="L52" s="110"/>
      <c r="M52" s="119" t="str">
        <f t="array" ref="M52">CREDITSSUM({K10:K15,M10:M15;K20:K25,M20:M25;K30:K35,M30:M35;K40:K45,M40:M45},1,2)</f>
        <v>Loading...</v>
      </c>
      <c r="N52" s="118"/>
      <c r="O52" s="120"/>
      <c r="P52" s="40"/>
    </row>
    <row r="53" ht="15.75" customHeight="1">
      <c r="A53" s="40"/>
      <c r="B53" s="121" t="s">
        <v>70</v>
      </c>
      <c r="C53" s="122"/>
      <c r="D53" s="84"/>
      <c r="E53" s="123"/>
      <c r="F53" s="86"/>
      <c r="G53" s="84"/>
      <c r="H53" s="124"/>
      <c r="I53" s="97"/>
      <c r="J53" s="97"/>
      <c r="K53" s="97"/>
      <c r="L53" s="131"/>
      <c r="M53" s="97"/>
      <c r="N53" s="97"/>
      <c r="O53" s="97"/>
      <c r="P53" s="40"/>
    </row>
    <row r="54" ht="15.75" customHeight="1">
      <c r="A54" s="40"/>
      <c r="B54" s="125" t="s">
        <v>71</v>
      </c>
      <c r="C54" s="126"/>
      <c r="D54" s="127"/>
      <c r="E54" s="128"/>
      <c r="F54" s="129"/>
      <c r="G54" s="127"/>
      <c r="H54" s="130"/>
      <c r="I54" s="97"/>
      <c r="J54" s="97"/>
      <c r="K54" s="97"/>
      <c r="L54" s="131"/>
      <c r="M54" s="97"/>
      <c r="N54" s="97"/>
      <c r="O54" s="97"/>
      <c r="P54" s="40"/>
    </row>
    <row r="55" ht="15.75" customHeight="1">
      <c r="A55" s="40"/>
      <c r="B55" s="96"/>
      <c r="C55" s="97"/>
      <c r="D55" s="97"/>
      <c r="E55" s="97"/>
      <c r="F55" s="97"/>
      <c r="G55" s="97"/>
      <c r="H55" s="97"/>
      <c r="I55" s="97"/>
      <c r="J55" s="97"/>
      <c r="K55" s="97"/>
      <c r="L55" s="131"/>
      <c r="M55" s="97"/>
      <c r="N55" s="97"/>
      <c r="O55" s="97"/>
      <c r="P55" s="40"/>
    </row>
  </sheetData>
  <mergeCells count="78">
    <mergeCell ref="C36:H38"/>
    <mergeCell ref="J36:K36"/>
    <mergeCell ref="J37:K37"/>
    <mergeCell ref="M37:O37"/>
    <mergeCell ref="J38:K38"/>
    <mergeCell ref="M38:O38"/>
    <mergeCell ref="B39:J39"/>
    <mergeCell ref="J46:K46"/>
    <mergeCell ref="J47:K47"/>
    <mergeCell ref="M47:O47"/>
    <mergeCell ref="J48:K48"/>
    <mergeCell ref="M48:O48"/>
    <mergeCell ref="B49:B50"/>
    <mergeCell ref="C49:E49"/>
    <mergeCell ref="F49:H49"/>
    <mergeCell ref="J50:K50"/>
    <mergeCell ref="J51:K51"/>
    <mergeCell ref="M51:O51"/>
    <mergeCell ref="J52:K52"/>
    <mergeCell ref="M52:O52"/>
    <mergeCell ref="B40:J40"/>
    <mergeCell ref="B41:J41"/>
    <mergeCell ref="B42:J42"/>
    <mergeCell ref="B43:J43"/>
    <mergeCell ref="B44:J44"/>
    <mergeCell ref="B45:J45"/>
    <mergeCell ref="C46:H48"/>
    <mergeCell ref="C1:H2"/>
    <mergeCell ref="I1:O2"/>
    <mergeCell ref="C3:E3"/>
    <mergeCell ref="F3:H3"/>
    <mergeCell ref="I3:J3"/>
    <mergeCell ref="K3:O3"/>
    <mergeCell ref="C4:E4"/>
    <mergeCell ref="K4:O4"/>
    <mergeCell ref="F4:H4"/>
    <mergeCell ref="I4:J4"/>
    <mergeCell ref="C5:E6"/>
    <mergeCell ref="F5:H6"/>
    <mergeCell ref="I5:J6"/>
    <mergeCell ref="K5:O6"/>
    <mergeCell ref="C7:E8"/>
    <mergeCell ref="K7:O8"/>
    <mergeCell ref="F7:H8"/>
    <mergeCell ref="I7:J8"/>
    <mergeCell ref="B9:J9"/>
    <mergeCell ref="B10:J10"/>
    <mergeCell ref="B11:J11"/>
    <mergeCell ref="B12:J12"/>
    <mergeCell ref="B13:J13"/>
    <mergeCell ref="B14:J14"/>
    <mergeCell ref="B15:J15"/>
    <mergeCell ref="C16:H18"/>
    <mergeCell ref="J16:K16"/>
    <mergeCell ref="J17:K17"/>
    <mergeCell ref="M17:O17"/>
    <mergeCell ref="M18:O18"/>
    <mergeCell ref="J18:K18"/>
    <mergeCell ref="B19:J19"/>
    <mergeCell ref="B20:J20"/>
    <mergeCell ref="B21:J21"/>
    <mergeCell ref="B22:J22"/>
    <mergeCell ref="B23:J23"/>
    <mergeCell ref="B24:J24"/>
    <mergeCell ref="B25:J25"/>
    <mergeCell ref="C26:H28"/>
    <mergeCell ref="J26:K26"/>
    <mergeCell ref="J27:K27"/>
    <mergeCell ref="M27:O27"/>
    <mergeCell ref="J28:K28"/>
    <mergeCell ref="M28:O28"/>
    <mergeCell ref="B29:J29"/>
    <mergeCell ref="B30:J30"/>
    <mergeCell ref="B31:J31"/>
    <mergeCell ref="B32:J32"/>
    <mergeCell ref="B33:J33"/>
    <mergeCell ref="B34:J34"/>
    <mergeCell ref="B35:J35"/>
  </mergeCells>
  <dataValidations>
    <dataValidation type="custom" allowBlank="1" showDropDown="1" showInputMessage="1" showErrorMessage="1" prompt="Enter a number" sqref="K10:K14 O10:O15 K20:K24 O20:O25 K30:K34 O30:O35 K40:K44 O40:O45">
      <formula1>ISNUMBER(K10)</formula1>
    </dataValidation>
    <dataValidation type="list" allowBlank="1" showInputMessage="1" showErrorMessage="1" prompt="Click and enter a valid scale from the list of items. The valid scales are Letter, 0-100, 0-4, and None" sqref="B3">
      <formula1>"Letter,0-4,0-100,None"</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8.88"/>
    <col customWidth="1" min="3" max="8" width="6.38"/>
    <col customWidth="1" hidden="1" min="9" max="9" width="18.88"/>
    <col customWidth="1" min="10" max="10" width="18.88"/>
    <col customWidth="1" min="11" max="11" width="6.38"/>
    <col customWidth="1" hidden="1" min="12" max="12" width="18.88"/>
    <col customWidth="1" min="13" max="13" width="6.38"/>
    <col customWidth="1" hidden="1" min="14" max="14" width="6.38"/>
    <col customWidth="1" min="15" max="15" width="6.38"/>
  </cols>
  <sheetData>
    <row r="1" ht="15.75" customHeight="1">
      <c r="A1" s="58"/>
      <c r="B1" s="1"/>
      <c r="C1" s="71" t="s">
        <v>5</v>
      </c>
      <c r="I1" s="58" t="s">
        <v>6</v>
      </c>
      <c r="P1" s="72"/>
    </row>
    <row r="2" ht="15.75" customHeight="1">
      <c r="A2" s="58"/>
      <c r="B2" s="74" t="s">
        <v>50</v>
      </c>
      <c r="P2" s="72"/>
    </row>
    <row r="3" ht="15.75" customHeight="1">
      <c r="A3" s="73"/>
      <c r="B3" s="75" t="s">
        <v>51</v>
      </c>
      <c r="C3" s="59" t="s">
        <v>8</v>
      </c>
      <c r="F3" s="60" t="str">
        <f>'Getting Started'!$G$10</f>
        <v/>
      </c>
      <c r="I3" s="59" t="s">
        <v>9</v>
      </c>
      <c r="K3" s="60" t="str">
        <f>'Getting Started'!$I$10</f>
        <v/>
      </c>
      <c r="P3" s="40"/>
    </row>
    <row r="4" ht="15.75" customHeight="1">
      <c r="A4" s="73"/>
      <c r="B4" s="133" t="s">
        <v>72</v>
      </c>
      <c r="C4" s="59" t="s">
        <v>11</v>
      </c>
      <c r="F4" s="61" t="str">
        <f>'Getting Started'!$G$11</f>
        <v/>
      </c>
      <c r="I4" s="59" t="s">
        <v>12</v>
      </c>
      <c r="K4" s="60" t="str">
        <f>'Getting Started'!$I$11</f>
        <v/>
      </c>
      <c r="P4" s="40"/>
    </row>
    <row r="5" ht="15.75" customHeight="1">
      <c r="A5" s="73"/>
      <c r="B5" s="40" t="str">
        <f t="array" ref="B5">GPA({'9th Grade (Quarter)'!K10:K15,'9th Grade (Quarter)'!M10:M15,'9th Grade (Quarter)'!O10:O15;'9th Grade (Quarter)'!K20:K25,'9th Grade (Quarter)'!M20:M25,'9th Grade (Quarter)'!O20:O25;'9th Grade (Quarter)'!K30:K35,'9th Grade (Quarter)'!M30:M35,'9th Grade (Quarter)'!O30:O35;'9th Grade (Quarter)'!K40:K45,'9th Grade (Quarter)'!M40:M45,'9th Grade (Quarter)'!O40:O45;'10th Grade (Quarter)'!K10:K15,'10th Grade (Quarter)'!M10:M15,'10th Grade (Quarter)'!O10:O15;'10th Grade (Quarter)'!K20:K25,'10th Grade (Quarter)'!M20:M25,'10th Grade (Quarter)'!O20:O25;'10th Grade (Quarter)'!K30:K35,'10th Grade (Quarter)'!M30:M35,'10th Grade (Quarter)'!O30:O35;'10th Grade (Quarter)'!K40:K45,'10th Grade (Quarter)'!M40:M45,'10th Grade (Quarter)'!O40:O45;K10:K15,M10:M15,O10:O15;K20:K25,M20:M25,O20:O25;K30:K35,M30:M35,O30:O35;K40:K45,M40:M45,O40:O45},1,2)</f>
        <v>Loading...</v>
      </c>
      <c r="C5" s="59" t="s">
        <v>13</v>
      </c>
      <c r="F5" s="60" t="str">
        <f>'Getting Started'!$G$12</f>
        <v/>
      </c>
      <c r="I5" s="59" t="s">
        <v>14</v>
      </c>
      <c r="K5" s="60" t="str">
        <f>'Getting Started'!$I$12</f>
        <v/>
      </c>
      <c r="P5" s="40"/>
    </row>
    <row r="6" ht="15.75" customHeight="1">
      <c r="A6" s="73"/>
      <c r="B6" s="133" t="s">
        <v>64</v>
      </c>
      <c r="P6" s="40"/>
    </row>
    <row r="7" ht="15.75" customHeight="1">
      <c r="A7" s="73"/>
      <c r="B7" s="40" t="str">
        <f>IF('10th Grade (Quarter)'!B7+M52 = 0, "", '10th Grade (Quarter)'!B7+M52)</f>
        <v>Loading...</v>
      </c>
      <c r="C7" s="59" t="s">
        <v>15</v>
      </c>
      <c r="F7" s="62" t="str">
        <f>'Getting Started'!$G$14</f>
        <v/>
      </c>
      <c r="I7" s="59" t="s">
        <v>16</v>
      </c>
      <c r="K7" s="60" t="str">
        <f>'Getting Started'!$I$14</f>
        <v/>
      </c>
      <c r="P7" s="40"/>
    </row>
    <row r="8" ht="15.75" customHeight="1">
      <c r="A8" s="73"/>
      <c r="B8" s="19" t="s">
        <v>84</v>
      </c>
      <c r="P8" s="40"/>
    </row>
    <row r="9" ht="31.5" customHeight="1">
      <c r="A9" s="40"/>
      <c r="B9" s="76" t="s">
        <v>53</v>
      </c>
      <c r="C9" s="8"/>
      <c r="D9" s="8"/>
      <c r="E9" s="8"/>
      <c r="F9" s="8"/>
      <c r="G9" s="8"/>
      <c r="H9" s="8"/>
      <c r="I9" s="8"/>
      <c r="J9" s="77"/>
      <c r="K9" s="78" t="s">
        <v>54</v>
      </c>
      <c r="L9" s="79" t="s">
        <v>55</v>
      </c>
      <c r="M9" s="80" t="s">
        <v>56</v>
      </c>
      <c r="N9" s="81"/>
      <c r="O9" s="82" t="s">
        <v>57</v>
      </c>
      <c r="P9" s="1"/>
    </row>
    <row r="10" ht="15.75" customHeight="1">
      <c r="A10" s="40"/>
      <c r="B10" s="83"/>
      <c r="J10" s="47"/>
      <c r="K10" s="84"/>
      <c r="L10" s="85"/>
      <c r="M10" s="86"/>
      <c r="N10" s="87"/>
      <c r="O10" s="88"/>
      <c r="P10" s="1"/>
    </row>
    <row r="11" ht="15.75" customHeight="1">
      <c r="A11" s="40"/>
      <c r="B11" s="141"/>
      <c r="J11" s="47"/>
      <c r="K11" s="84"/>
      <c r="L11" s="85" t="b">
        <v>0</v>
      </c>
      <c r="M11" s="86"/>
      <c r="N11" s="142"/>
      <c r="O11" s="88"/>
      <c r="P11" s="40"/>
    </row>
    <row r="12" ht="15.75" customHeight="1">
      <c r="A12" s="40"/>
      <c r="B12" s="141"/>
      <c r="J12" s="47"/>
      <c r="K12" s="84"/>
      <c r="L12" s="143" t="b">
        <v>0</v>
      </c>
      <c r="M12" s="86"/>
      <c r="N12" s="142"/>
      <c r="O12" s="144"/>
      <c r="P12" s="40"/>
    </row>
    <row r="13" ht="15.75" customHeight="1">
      <c r="A13" s="40"/>
      <c r="B13" s="141"/>
      <c r="J13" s="47"/>
      <c r="K13" s="145"/>
      <c r="L13" s="85" t="b">
        <v>0</v>
      </c>
      <c r="M13" s="146"/>
      <c r="N13" s="142"/>
      <c r="O13" s="144"/>
      <c r="P13" s="40"/>
    </row>
    <row r="14" ht="15.75" customHeight="1">
      <c r="A14" s="40"/>
      <c r="B14" s="141"/>
      <c r="J14" s="47"/>
      <c r="K14" s="145"/>
      <c r="L14" s="85" t="b">
        <v>0</v>
      </c>
      <c r="M14" s="146"/>
      <c r="N14" s="142"/>
      <c r="O14" s="144"/>
      <c r="P14" s="40"/>
    </row>
    <row r="15" ht="15.75" customHeight="1">
      <c r="A15" s="40"/>
      <c r="B15" s="89"/>
      <c r="C15" s="16"/>
      <c r="D15" s="16"/>
      <c r="E15" s="16"/>
      <c r="F15" s="16"/>
      <c r="G15" s="16"/>
      <c r="H15" s="16"/>
      <c r="I15" s="16"/>
      <c r="J15" s="90"/>
      <c r="K15" s="91"/>
      <c r="L15" s="92" t="b">
        <v>0</v>
      </c>
      <c r="M15" s="93"/>
      <c r="N15" s="94"/>
      <c r="O15" s="95"/>
      <c r="P15" s="40"/>
    </row>
    <row r="16" ht="15.75" customHeight="1">
      <c r="A16" s="40"/>
      <c r="B16" s="147" t="s">
        <v>73</v>
      </c>
      <c r="C16" s="151"/>
      <c r="D16" s="137"/>
      <c r="E16" s="137"/>
      <c r="F16" s="137"/>
      <c r="G16" s="137"/>
      <c r="H16" s="137"/>
      <c r="I16" s="1"/>
      <c r="J16" s="101" t="s">
        <v>85</v>
      </c>
      <c r="K16" s="102"/>
      <c r="L16" s="1"/>
      <c r="M16" s="1"/>
      <c r="N16" s="97"/>
      <c r="O16" s="97"/>
      <c r="P16" s="40"/>
    </row>
    <row r="17" ht="15.75" customHeight="1">
      <c r="A17" s="40"/>
      <c r="B17" s="96"/>
      <c r="C17" s="149"/>
      <c r="I17" s="100"/>
      <c r="J17" s="108" t="s">
        <v>63</v>
      </c>
      <c r="K17" s="109"/>
      <c r="L17" s="110"/>
      <c r="M17" s="111" t="s">
        <v>64</v>
      </c>
      <c r="N17" s="109"/>
      <c r="O17" s="102"/>
      <c r="P17" s="40"/>
    </row>
    <row r="18" ht="15.75" customHeight="1">
      <c r="A18" s="40"/>
      <c r="B18" s="19" t="s">
        <v>86</v>
      </c>
      <c r="C18" s="152"/>
      <c r="D18" s="140"/>
      <c r="E18" s="140"/>
      <c r="F18" s="140"/>
      <c r="G18" s="140"/>
      <c r="H18" s="140"/>
      <c r="I18" s="100"/>
      <c r="J18" s="117" t="str">
        <f t="array" ref="J18">GPA({K10:K15,M10:M15,O10:O15},1,2)</f>
        <v>Loading...</v>
      </c>
      <c r="K18" s="118"/>
      <c r="L18" s="110"/>
      <c r="M18" s="119" t="str">
        <f t="array" ref="M18">CREDITSSUM({K10:K15,M10:M15},1,2)</f>
        <v>Loading...</v>
      </c>
      <c r="N18" s="118"/>
      <c r="O18" s="120"/>
      <c r="P18" s="40"/>
    </row>
    <row r="19" ht="31.5" customHeight="1">
      <c r="A19" s="40"/>
      <c r="B19" s="76" t="s">
        <v>53</v>
      </c>
      <c r="C19" s="8"/>
      <c r="D19" s="8"/>
      <c r="E19" s="8"/>
      <c r="F19" s="8"/>
      <c r="G19" s="8"/>
      <c r="H19" s="8"/>
      <c r="I19" s="8"/>
      <c r="J19" s="77"/>
      <c r="K19" s="78" t="s">
        <v>54</v>
      </c>
      <c r="L19" s="79" t="s">
        <v>55</v>
      </c>
      <c r="M19" s="80" t="s">
        <v>56</v>
      </c>
      <c r="N19" s="81"/>
      <c r="O19" s="82" t="s">
        <v>57</v>
      </c>
      <c r="P19" s="1"/>
    </row>
    <row r="20" ht="15.75" customHeight="1">
      <c r="A20" s="40"/>
      <c r="B20" s="83"/>
      <c r="J20" s="47"/>
      <c r="K20" s="84"/>
      <c r="L20" s="85"/>
      <c r="M20" s="86"/>
      <c r="N20" s="87"/>
      <c r="O20" s="88"/>
      <c r="P20" s="1"/>
    </row>
    <row r="21" ht="15.75" customHeight="1">
      <c r="A21" s="40"/>
      <c r="B21" s="141"/>
      <c r="J21" s="47"/>
      <c r="K21" s="84"/>
      <c r="L21" s="85" t="b">
        <v>0</v>
      </c>
      <c r="M21" s="86"/>
      <c r="N21" s="142"/>
      <c r="O21" s="88"/>
      <c r="P21" s="40"/>
    </row>
    <row r="22" ht="15.75" customHeight="1">
      <c r="A22" s="40"/>
      <c r="B22" s="141"/>
      <c r="J22" s="47"/>
      <c r="K22" s="84"/>
      <c r="L22" s="143" t="b">
        <v>0</v>
      </c>
      <c r="M22" s="86"/>
      <c r="N22" s="142"/>
      <c r="O22" s="144"/>
      <c r="P22" s="40"/>
    </row>
    <row r="23" ht="15.75" customHeight="1">
      <c r="A23" s="40"/>
      <c r="B23" s="141"/>
      <c r="J23" s="47"/>
      <c r="K23" s="145"/>
      <c r="L23" s="143" t="b">
        <v>0</v>
      </c>
      <c r="M23" s="146"/>
      <c r="N23" s="142"/>
      <c r="O23" s="144"/>
      <c r="P23" s="40"/>
    </row>
    <row r="24" ht="15.75" customHeight="1">
      <c r="A24" s="40"/>
      <c r="B24" s="141"/>
      <c r="J24" s="47"/>
      <c r="K24" s="145"/>
      <c r="L24" s="85" t="b">
        <v>0</v>
      </c>
      <c r="M24" s="146"/>
      <c r="N24" s="142"/>
      <c r="O24" s="144"/>
      <c r="P24" s="40"/>
    </row>
    <row r="25" ht="15.75" customHeight="1">
      <c r="A25" s="40"/>
      <c r="B25" s="89"/>
      <c r="C25" s="16"/>
      <c r="D25" s="16"/>
      <c r="E25" s="16"/>
      <c r="F25" s="16"/>
      <c r="G25" s="16"/>
      <c r="H25" s="16"/>
      <c r="I25" s="16"/>
      <c r="J25" s="90"/>
      <c r="K25" s="91"/>
      <c r="L25" s="92" t="b">
        <v>0</v>
      </c>
      <c r="M25" s="93"/>
      <c r="N25" s="94"/>
      <c r="O25" s="95"/>
      <c r="P25" s="40"/>
    </row>
    <row r="26" ht="15.75" customHeight="1">
      <c r="A26" s="40"/>
      <c r="B26" s="147" t="s">
        <v>73</v>
      </c>
      <c r="C26" s="151"/>
      <c r="D26" s="137"/>
      <c r="E26" s="137"/>
      <c r="F26" s="137"/>
      <c r="G26" s="137"/>
      <c r="H26" s="137"/>
      <c r="I26" s="1"/>
      <c r="J26" s="101" t="s">
        <v>87</v>
      </c>
      <c r="K26" s="102"/>
      <c r="L26" s="1"/>
      <c r="M26" s="1"/>
      <c r="N26" s="97"/>
      <c r="O26" s="97"/>
      <c r="P26" s="40"/>
    </row>
    <row r="27" ht="15.75" customHeight="1">
      <c r="A27" s="40"/>
      <c r="B27" s="96"/>
      <c r="C27" s="149"/>
      <c r="I27" s="100"/>
      <c r="J27" s="108" t="s">
        <v>63</v>
      </c>
      <c r="K27" s="109"/>
      <c r="L27" s="110"/>
      <c r="M27" s="111" t="s">
        <v>64</v>
      </c>
      <c r="N27" s="109"/>
      <c r="O27" s="102"/>
      <c r="P27" s="40"/>
    </row>
    <row r="28" ht="15.75" customHeight="1">
      <c r="A28" s="40"/>
      <c r="B28" s="19" t="s">
        <v>88</v>
      </c>
      <c r="C28" s="152"/>
      <c r="D28" s="140"/>
      <c r="E28" s="140"/>
      <c r="F28" s="140"/>
      <c r="G28" s="140"/>
      <c r="H28" s="140"/>
      <c r="I28" s="100"/>
      <c r="J28" s="117" t="str">
        <f t="array" ref="J28">GPA({K20:K25,M20:M25,O20:O25},1,2)</f>
        <v>Loading...</v>
      </c>
      <c r="K28" s="118"/>
      <c r="L28" s="110"/>
      <c r="M28" s="119" t="str">
        <f t="array" ref="M28">CREDITSSUM({K20:K25,M20:M25},1,2)</f>
        <v>Loading...</v>
      </c>
      <c r="N28" s="118"/>
      <c r="O28" s="120"/>
      <c r="P28" s="40"/>
    </row>
    <row r="29" ht="31.5" customHeight="1">
      <c r="A29" s="40"/>
      <c r="B29" s="76" t="s">
        <v>53</v>
      </c>
      <c r="C29" s="8"/>
      <c r="D29" s="8"/>
      <c r="E29" s="8"/>
      <c r="F29" s="8"/>
      <c r="G29" s="8"/>
      <c r="H29" s="8"/>
      <c r="I29" s="8"/>
      <c r="J29" s="77"/>
      <c r="K29" s="78" t="s">
        <v>54</v>
      </c>
      <c r="L29" s="79" t="s">
        <v>55</v>
      </c>
      <c r="M29" s="80" t="s">
        <v>56</v>
      </c>
      <c r="N29" s="81"/>
      <c r="O29" s="82" t="s">
        <v>57</v>
      </c>
      <c r="P29" s="1"/>
    </row>
    <row r="30" ht="15.75" customHeight="1">
      <c r="A30" s="40"/>
      <c r="B30" s="83"/>
      <c r="J30" s="47"/>
      <c r="K30" s="84"/>
      <c r="L30" s="85"/>
      <c r="M30" s="86"/>
      <c r="N30" s="87"/>
      <c r="O30" s="88"/>
      <c r="P30" s="1"/>
    </row>
    <row r="31" ht="15.75" customHeight="1">
      <c r="A31" s="40"/>
      <c r="B31" s="141"/>
      <c r="J31" s="47"/>
      <c r="K31" s="84"/>
      <c r="L31" s="85" t="b">
        <v>0</v>
      </c>
      <c r="M31" s="86"/>
      <c r="N31" s="142"/>
      <c r="O31" s="88"/>
      <c r="P31" s="40"/>
    </row>
    <row r="32" ht="15.75" customHeight="1">
      <c r="A32" s="40"/>
      <c r="B32" s="141"/>
      <c r="J32" s="47"/>
      <c r="K32" s="84"/>
      <c r="L32" s="143" t="b">
        <v>0</v>
      </c>
      <c r="M32" s="86"/>
      <c r="N32" s="142"/>
      <c r="O32" s="144"/>
      <c r="P32" s="40"/>
    </row>
    <row r="33" ht="15.75" customHeight="1">
      <c r="A33" s="40"/>
      <c r="B33" s="141"/>
      <c r="J33" s="47"/>
      <c r="K33" s="145"/>
      <c r="L33" s="143" t="b">
        <v>0</v>
      </c>
      <c r="M33" s="146"/>
      <c r="N33" s="142"/>
      <c r="O33" s="144"/>
      <c r="P33" s="40"/>
    </row>
    <row r="34" ht="15.75" customHeight="1">
      <c r="A34" s="40"/>
      <c r="B34" s="141"/>
      <c r="J34" s="47"/>
      <c r="K34" s="145"/>
      <c r="L34" s="85" t="b">
        <v>0</v>
      </c>
      <c r="M34" s="146"/>
      <c r="N34" s="142"/>
      <c r="O34" s="144"/>
      <c r="P34" s="40"/>
    </row>
    <row r="35" ht="15.75" customHeight="1">
      <c r="A35" s="40"/>
      <c r="B35" s="89"/>
      <c r="C35" s="16"/>
      <c r="D35" s="16"/>
      <c r="E35" s="16"/>
      <c r="F35" s="16"/>
      <c r="G35" s="16"/>
      <c r="H35" s="16"/>
      <c r="I35" s="16"/>
      <c r="J35" s="90"/>
      <c r="K35" s="91"/>
      <c r="L35" s="92" t="b">
        <v>0</v>
      </c>
      <c r="M35" s="93"/>
      <c r="N35" s="94"/>
      <c r="O35" s="95"/>
      <c r="P35" s="40"/>
    </row>
    <row r="36" ht="15.75" customHeight="1">
      <c r="A36" s="40"/>
      <c r="B36" s="147" t="s">
        <v>73</v>
      </c>
      <c r="C36" s="151"/>
      <c r="D36" s="137"/>
      <c r="E36" s="137"/>
      <c r="F36" s="137"/>
      <c r="G36" s="137"/>
      <c r="H36" s="137"/>
      <c r="I36" s="1"/>
      <c r="J36" s="101" t="s">
        <v>89</v>
      </c>
      <c r="K36" s="102"/>
      <c r="L36" s="1"/>
      <c r="M36" s="1"/>
      <c r="N36" s="97"/>
      <c r="O36" s="97"/>
      <c r="P36" s="40"/>
    </row>
    <row r="37" ht="15.75" customHeight="1">
      <c r="A37" s="40"/>
      <c r="B37" s="96"/>
      <c r="C37" s="149"/>
      <c r="I37" s="100"/>
      <c r="J37" s="108" t="s">
        <v>63</v>
      </c>
      <c r="K37" s="109"/>
      <c r="L37" s="110"/>
      <c r="M37" s="111" t="s">
        <v>64</v>
      </c>
      <c r="N37" s="109"/>
      <c r="O37" s="102"/>
      <c r="P37" s="40"/>
    </row>
    <row r="38" ht="15.75" customHeight="1">
      <c r="A38" s="40"/>
      <c r="B38" s="19" t="s">
        <v>90</v>
      </c>
      <c r="C38" s="152"/>
      <c r="D38" s="140"/>
      <c r="E38" s="140"/>
      <c r="F38" s="140"/>
      <c r="G38" s="140"/>
      <c r="H38" s="140"/>
      <c r="I38" s="100"/>
      <c r="J38" s="117" t="str">
        <f t="array" ref="J38">GPA({K30:K35,M30:M35,O30:O35},1,2)</f>
        <v>Loading...</v>
      </c>
      <c r="K38" s="118"/>
      <c r="L38" s="110"/>
      <c r="M38" s="119" t="str">
        <f t="array" ref="M38">CREDITSSUM({K30:K35,M30:M35},1,2)</f>
        <v>Loading...</v>
      </c>
      <c r="N38" s="118"/>
      <c r="O38" s="120"/>
      <c r="P38" s="40"/>
    </row>
    <row r="39" ht="31.5" customHeight="1">
      <c r="A39" s="40"/>
      <c r="B39" s="76" t="s">
        <v>53</v>
      </c>
      <c r="C39" s="8"/>
      <c r="D39" s="8"/>
      <c r="E39" s="8"/>
      <c r="F39" s="8"/>
      <c r="G39" s="8"/>
      <c r="H39" s="8"/>
      <c r="I39" s="8"/>
      <c r="J39" s="77"/>
      <c r="K39" s="78" t="s">
        <v>54</v>
      </c>
      <c r="L39" s="79" t="s">
        <v>55</v>
      </c>
      <c r="M39" s="80" t="s">
        <v>56</v>
      </c>
      <c r="N39" s="81"/>
      <c r="O39" s="82" t="s">
        <v>57</v>
      </c>
      <c r="P39" s="1"/>
    </row>
    <row r="40" ht="15.75" customHeight="1">
      <c r="A40" s="40"/>
      <c r="B40" s="83"/>
      <c r="J40" s="47"/>
      <c r="K40" s="84"/>
      <c r="L40" s="85"/>
      <c r="M40" s="86"/>
      <c r="N40" s="87"/>
      <c r="O40" s="88"/>
      <c r="P40" s="1"/>
    </row>
    <row r="41" ht="15.75" customHeight="1">
      <c r="A41" s="40"/>
      <c r="B41" s="141"/>
      <c r="J41" s="47"/>
      <c r="K41" s="84"/>
      <c r="L41" s="85" t="b">
        <v>0</v>
      </c>
      <c r="M41" s="86"/>
      <c r="N41" s="142"/>
      <c r="O41" s="88"/>
      <c r="P41" s="40"/>
    </row>
    <row r="42" ht="15.75" customHeight="1">
      <c r="A42" s="40"/>
      <c r="B42" s="141"/>
      <c r="J42" s="47"/>
      <c r="K42" s="84"/>
      <c r="L42" s="143" t="b">
        <v>0</v>
      </c>
      <c r="M42" s="86"/>
      <c r="N42" s="142"/>
      <c r="O42" s="144"/>
      <c r="P42" s="40"/>
    </row>
    <row r="43" ht="15.75" customHeight="1">
      <c r="A43" s="40"/>
      <c r="B43" s="141"/>
      <c r="J43" s="47"/>
      <c r="K43" s="145"/>
      <c r="L43" s="143" t="b">
        <v>0</v>
      </c>
      <c r="M43" s="146"/>
      <c r="N43" s="142"/>
      <c r="O43" s="144"/>
      <c r="P43" s="40"/>
    </row>
    <row r="44" ht="15.75" customHeight="1">
      <c r="A44" s="40"/>
      <c r="B44" s="141"/>
      <c r="J44" s="47"/>
      <c r="K44" s="145"/>
      <c r="L44" s="85" t="b">
        <v>0</v>
      </c>
      <c r="M44" s="146"/>
      <c r="N44" s="142"/>
      <c r="O44" s="144"/>
      <c r="P44" s="40"/>
    </row>
    <row r="45" ht="15.75" customHeight="1">
      <c r="A45" s="40"/>
      <c r="B45" s="89"/>
      <c r="C45" s="16"/>
      <c r="D45" s="16"/>
      <c r="E45" s="16"/>
      <c r="F45" s="16"/>
      <c r="G45" s="16"/>
      <c r="H45" s="16"/>
      <c r="I45" s="16"/>
      <c r="J45" s="90"/>
      <c r="K45" s="91"/>
      <c r="L45" s="92" t="b">
        <v>0</v>
      </c>
      <c r="M45" s="93"/>
      <c r="N45" s="94"/>
      <c r="O45" s="95"/>
      <c r="P45" s="40"/>
    </row>
    <row r="46" ht="15.75" customHeight="1">
      <c r="A46" s="40"/>
      <c r="B46" s="147" t="s">
        <v>73</v>
      </c>
      <c r="C46" s="148"/>
      <c r="I46" s="1"/>
      <c r="J46" s="101" t="s">
        <v>91</v>
      </c>
      <c r="K46" s="102"/>
      <c r="L46" s="1"/>
      <c r="M46" s="1"/>
      <c r="N46" s="97"/>
      <c r="O46" s="97"/>
      <c r="P46" s="40"/>
    </row>
    <row r="47" ht="15.75" customHeight="1">
      <c r="A47" s="40"/>
      <c r="C47" s="149"/>
      <c r="I47" s="100"/>
      <c r="J47" s="108" t="s">
        <v>63</v>
      </c>
      <c r="K47" s="109"/>
      <c r="L47" s="110"/>
      <c r="M47" s="111" t="s">
        <v>64</v>
      </c>
      <c r="N47" s="109"/>
      <c r="O47" s="102"/>
      <c r="P47" s="40"/>
    </row>
    <row r="48" ht="15.75" customHeight="1">
      <c r="A48" s="40"/>
      <c r="B48" s="98" t="s">
        <v>58</v>
      </c>
      <c r="C48" s="149"/>
      <c r="I48" s="100"/>
      <c r="J48" s="117" t="str">
        <f t="array" ref="J48">GPA({K40:K45,M40:M45,O40:O45},1,2)</f>
        <v>Loading...</v>
      </c>
      <c r="K48" s="118"/>
      <c r="L48" s="110"/>
      <c r="M48" s="119" t="str">
        <f t="array" ref="M48">CREDITSSUM({K40:K45,M40:M45},1,2)</f>
        <v>Loading...</v>
      </c>
      <c r="N48" s="118"/>
      <c r="O48" s="120"/>
      <c r="P48" s="40"/>
    </row>
    <row r="49" ht="15.75" customHeight="1">
      <c r="A49" s="40"/>
      <c r="B49" s="103" t="s">
        <v>60</v>
      </c>
      <c r="C49" s="104" t="s">
        <v>61</v>
      </c>
      <c r="D49" s="105"/>
      <c r="E49" s="106"/>
      <c r="F49" s="155" t="s">
        <v>62</v>
      </c>
      <c r="G49" s="105"/>
      <c r="H49" s="107"/>
      <c r="I49" s="110"/>
      <c r="J49" s="1"/>
      <c r="K49" s="1"/>
      <c r="L49" s="1"/>
      <c r="M49" s="1"/>
      <c r="N49" s="1"/>
      <c r="O49" s="1"/>
      <c r="P49" s="40"/>
    </row>
    <row r="50" ht="15.75" customHeight="1">
      <c r="A50" s="40"/>
      <c r="B50" s="112"/>
      <c r="C50" s="113" t="s">
        <v>65</v>
      </c>
      <c r="D50" s="114" t="s">
        <v>66</v>
      </c>
      <c r="E50" s="115" t="s">
        <v>67</v>
      </c>
      <c r="F50" s="113" t="s">
        <v>65</v>
      </c>
      <c r="G50" s="114" t="s">
        <v>66</v>
      </c>
      <c r="H50" s="116" t="s">
        <v>67</v>
      </c>
      <c r="I50" s="110"/>
      <c r="J50" s="101" t="s">
        <v>59</v>
      </c>
      <c r="K50" s="102"/>
      <c r="L50" s="1"/>
      <c r="M50" s="1"/>
      <c r="N50" s="97"/>
      <c r="O50" s="97"/>
      <c r="P50" s="40"/>
    </row>
    <row r="51" ht="15.75" customHeight="1">
      <c r="A51" s="40"/>
      <c r="B51" s="132" t="s">
        <v>68</v>
      </c>
      <c r="C51" s="122"/>
      <c r="D51" s="84"/>
      <c r="E51" s="123"/>
      <c r="F51" s="86"/>
      <c r="G51" s="84"/>
      <c r="H51" s="124"/>
      <c r="I51" s="110"/>
      <c r="J51" s="108" t="s">
        <v>63</v>
      </c>
      <c r="K51" s="109"/>
      <c r="L51" s="110"/>
      <c r="M51" s="111" t="s">
        <v>64</v>
      </c>
      <c r="N51" s="109"/>
      <c r="O51" s="102"/>
      <c r="P51" s="40"/>
    </row>
    <row r="52" ht="15.75" customHeight="1">
      <c r="A52" s="40"/>
      <c r="B52" s="132" t="s">
        <v>69</v>
      </c>
      <c r="C52" s="122"/>
      <c r="D52" s="84"/>
      <c r="E52" s="123"/>
      <c r="F52" s="86"/>
      <c r="G52" s="84"/>
      <c r="H52" s="124"/>
      <c r="I52" s="110"/>
      <c r="J52" s="117" t="str">
        <f t="array" ref="J52">GPA({K10:K15,M10:M15,O10:O15;K20:K25,M20:M25,O20:O25;K30:K35,M30:M35,O30:O35;K40:K45,M40:M45,O40:O45},1,2)</f>
        <v>Loading...</v>
      </c>
      <c r="K52" s="118"/>
      <c r="L52" s="110"/>
      <c r="M52" s="119" t="str">
        <f t="array" ref="M52">CREDITSSUM({K10:K15,M10:M15;K20:K25,M20:M25;K30:K35,M30:M35;K40:K45,M40:M45},1,2)</f>
        <v>Loading...</v>
      </c>
      <c r="N52" s="118"/>
      <c r="O52" s="120"/>
      <c r="P52" s="40"/>
    </row>
    <row r="53" ht="15.75" customHeight="1">
      <c r="A53" s="40"/>
      <c r="B53" s="121" t="s">
        <v>70</v>
      </c>
      <c r="C53" s="122"/>
      <c r="D53" s="84"/>
      <c r="E53" s="123"/>
      <c r="F53" s="86"/>
      <c r="G53" s="84"/>
      <c r="H53" s="124"/>
      <c r="I53" s="97"/>
      <c r="J53" s="97"/>
      <c r="K53" s="97"/>
      <c r="L53" s="131"/>
      <c r="M53" s="97"/>
      <c r="N53" s="97"/>
      <c r="O53" s="97"/>
      <c r="P53" s="40"/>
    </row>
    <row r="54" ht="15.75" customHeight="1">
      <c r="A54" s="40"/>
      <c r="B54" s="125" t="s">
        <v>71</v>
      </c>
      <c r="C54" s="126"/>
      <c r="D54" s="127"/>
      <c r="E54" s="128"/>
      <c r="F54" s="129"/>
      <c r="G54" s="127"/>
      <c r="H54" s="130"/>
      <c r="I54" s="97"/>
      <c r="J54" s="97"/>
      <c r="K54" s="97"/>
      <c r="L54" s="131"/>
      <c r="M54" s="97"/>
      <c r="N54" s="97"/>
      <c r="O54" s="97"/>
      <c r="P54" s="40"/>
    </row>
    <row r="55" ht="15.75" customHeight="1">
      <c r="A55" s="40"/>
      <c r="B55" s="96"/>
      <c r="C55" s="97"/>
      <c r="D55" s="97"/>
      <c r="E55" s="97"/>
      <c r="F55" s="97"/>
      <c r="G55" s="97"/>
      <c r="H55" s="97"/>
      <c r="I55" s="97"/>
      <c r="J55" s="97"/>
      <c r="K55" s="97"/>
      <c r="L55" s="131"/>
      <c r="M55" s="97"/>
      <c r="N55" s="97"/>
      <c r="O55" s="97"/>
      <c r="P55" s="40"/>
    </row>
  </sheetData>
  <mergeCells count="78">
    <mergeCell ref="C36:H38"/>
    <mergeCell ref="J36:K36"/>
    <mergeCell ref="J37:K37"/>
    <mergeCell ref="M37:O37"/>
    <mergeCell ref="J38:K38"/>
    <mergeCell ref="M38:O38"/>
    <mergeCell ref="B39:J39"/>
    <mergeCell ref="J46:K46"/>
    <mergeCell ref="J47:K47"/>
    <mergeCell ref="M47:O47"/>
    <mergeCell ref="J48:K48"/>
    <mergeCell ref="M48:O48"/>
    <mergeCell ref="B49:B50"/>
    <mergeCell ref="C49:E49"/>
    <mergeCell ref="F49:H49"/>
    <mergeCell ref="J50:K50"/>
    <mergeCell ref="J51:K51"/>
    <mergeCell ref="M51:O51"/>
    <mergeCell ref="J52:K52"/>
    <mergeCell ref="M52:O52"/>
    <mergeCell ref="B40:J40"/>
    <mergeCell ref="B41:J41"/>
    <mergeCell ref="B42:J42"/>
    <mergeCell ref="B43:J43"/>
    <mergeCell ref="B44:J44"/>
    <mergeCell ref="B45:J45"/>
    <mergeCell ref="C46:H48"/>
    <mergeCell ref="C1:H2"/>
    <mergeCell ref="I1:O2"/>
    <mergeCell ref="C3:E3"/>
    <mergeCell ref="F3:H3"/>
    <mergeCell ref="I3:J3"/>
    <mergeCell ref="K3:O3"/>
    <mergeCell ref="C4:E4"/>
    <mergeCell ref="K4:O4"/>
    <mergeCell ref="F4:H4"/>
    <mergeCell ref="I4:J4"/>
    <mergeCell ref="C5:E6"/>
    <mergeCell ref="F5:H6"/>
    <mergeCell ref="I5:J6"/>
    <mergeCell ref="K5:O6"/>
    <mergeCell ref="C7:E8"/>
    <mergeCell ref="K7:O8"/>
    <mergeCell ref="F7:H8"/>
    <mergeCell ref="I7:J8"/>
    <mergeCell ref="B9:J9"/>
    <mergeCell ref="B10:J10"/>
    <mergeCell ref="B11:J11"/>
    <mergeCell ref="B12:J12"/>
    <mergeCell ref="B13:J13"/>
    <mergeCell ref="B14:J14"/>
    <mergeCell ref="B15:J15"/>
    <mergeCell ref="C16:H18"/>
    <mergeCell ref="J16:K16"/>
    <mergeCell ref="J17:K17"/>
    <mergeCell ref="M17:O17"/>
    <mergeCell ref="M18:O18"/>
    <mergeCell ref="J18:K18"/>
    <mergeCell ref="B19:J19"/>
    <mergeCell ref="B20:J20"/>
    <mergeCell ref="B21:J21"/>
    <mergeCell ref="B22:J22"/>
    <mergeCell ref="B23:J23"/>
    <mergeCell ref="B24:J24"/>
    <mergeCell ref="B25:J25"/>
    <mergeCell ref="C26:H28"/>
    <mergeCell ref="J26:K26"/>
    <mergeCell ref="J27:K27"/>
    <mergeCell ref="M27:O27"/>
    <mergeCell ref="J28:K28"/>
    <mergeCell ref="M28:O28"/>
    <mergeCell ref="B29:J29"/>
    <mergeCell ref="B30:J30"/>
    <mergeCell ref="B31:J31"/>
    <mergeCell ref="B32:J32"/>
    <mergeCell ref="B33:J33"/>
    <mergeCell ref="B34:J34"/>
    <mergeCell ref="B35:J35"/>
  </mergeCells>
  <dataValidations>
    <dataValidation type="custom" allowBlank="1" showDropDown="1" showInputMessage="1" showErrorMessage="1" prompt="Enter a number" sqref="K10:K14 O10:O15 K20:K24 O20:O25 K30:K34 O30:O35 K40:K44 O40:O45">
      <formula1>ISNUMBER(K10)</formula1>
    </dataValidation>
    <dataValidation type="list" allowBlank="1" showInputMessage="1" showErrorMessage="1" prompt="Click and enter a valid scale from the list of items. The valid scales are Letter, 0-100, 0-4, and None" sqref="B3">
      <formula1>"Letter,0-4,0-100,None"</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8.88"/>
    <col customWidth="1" min="3" max="8" width="6.38"/>
    <col customWidth="1" hidden="1" min="9" max="9" width="18.88"/>
    <col customWidth="1" min="10" max="10" width="18.88"/>
    <col customWidth="1" min="11" max="11" width="6.38"/>
    <col customWidth="1" hidden="1" min="12" max="12" width="18.88"/>
    <col customWidth="1" min="13" max="13" width="6.38"/>
    <col customWidth="1" hidden="1" min="14" max="14" width="6.38"/>
    <col customWidth="1" min="15" max="15" width="6.38"/>
  </cols>
  <sheetData>
    <row r="1" ht="15.75" customHeight="1">
      <c r="A1" s="58"/>
      <c r="B1" s="1"/>
      <c r="C1" s="71" t="s">
        <v>5</v>
      </c>
      <c r="I1" s="58" t="s">
        <v>6</v>
      </c>
      <c r="P1" s="72"/>
    </row>
    <row r="2" ht="15.75" customHeight="1">
      <c r="A2" s="58"/>
      <c r="B2" s="74" t="s">
        <v>50</v>
      </c>
      <c r="P2" s="72"/>
    </row>
    <row r="3" ht="15.75" customHeight="1">
      <c r="A3" s="73"/>
      <c r="B3" s="75" t="s">
        <v>51</v>
      </c>
      <c r="C3" s="59" t="s">
        <v>8</v>
      </c>
      <c r="F3" s="60" t="str">
        <f>'Getting Started'!$G$10</f>
        <v/>
      </c>
      <c r="I3" s="59" t="s">
        <v>9</v>
      </c>
      <c r="K3" s="60" t="str">
        <f>'Getting Started'!$I$10</f>
        <v/>
      </c>
      <c r="P3" s="40"/>
    </row>
    <row r="4" ht="15.75" customHeight="1">
      <c r="A4" s="73"/>
      <c r="B4" s="133" t="s">
        <v>72</v>
      </c>
      <c r="C4" s="59" t="s">
        <v>11</v>
      </c>
      <c r="F4" s="61" t="str">
        <f>'Getting Started'!$G$11</f>
        <v/>
      </c>
      <c r="I4" s="59" t="s">
        <v>12</v>
      </c>
      <c r="K4" s="60" t="str">
        <f>'Getting Started'!$I$11</f>
        <v/>
      </c>
      <c r="P4" s="40"/>
    </row>
    <row r="5" ht="15.75" customHeight="1">
      <c r="A5" s="73"/>
      <c r="B5" s="40" t="str">
        <f t="array" ref="B5">GPA({'9th Grade (Quarter)'!K10:K15,'9th Grade (Quarter)'!M10:M15,'9th Grade (Quarter)'!O10:O15;'9th Grade (Quarter)'!K20:K25,'9th Grade (Quarter)'!M20:M25,'9th Grade (Quarter)'!O20:O25;'9th Grade (Quarter)'!K30:K35,'9th Grade (Quarter)'!M30:M35,'9th Grade (Quarter)'!O30:O35;'9th Grade (Quarter)'!K40:K45,'9th Grade (Quarter)'!M40:M45,'9th Grade (Quarter)'!O40:O45;'10th Grade (Quarter)'!K10:K15,'10th Grade (Quarter)'!M10:M15,'10th Grade (Quarter)'!O10:O15;'10th Grade (Quarter)'!K20:K25,'10th Grade (Quarter)'!M20:M25,'10th Grade (Quarter)'!O20:O25;'10th Grade (Quarter)'!K30:K35,'10th Grade (Quarter)'!M30:M35,'10th Grade (Quarter)'!O30:O35;'10th Grade (Quarter)'!K40:K45,'10th Grade (Quarter)'!M40:M45,'10th Grade (Quarter)'!O40:O45;'11th Grade (Quarter)'!K10:K15,'11th Grade (Quarter)'!M10:M15,'11th Grade (Quarter)'!O10:O15;'11th Grade (Quarter)'!K20:K25,'11th Grade (Quarter)'!M20:M25,'11th Grade (Quarter)'!O20:O25;'11th Grade (Quarter)'!K30:K35,'11th Grade (Quarter)'!M30:M35,'11th Grade (Quarter)'!O30:O35;'11th Grade (Quarter)'!K40:K45,'11th Grade (Quarter)'!M40:M45,'11th Grade (Quarter)'!O40:O45;K10:K15,M10:M15,O10:O15;K20:K25,M20:M25,O20:O25;K30:K35,M30:M35,O30:O35;K40:K45,M40:M45,O40:O45},1,2)</f>
        <v>Loading...</v>
      </c>
      <c r="C5" s="59" t="s">
        <v>13</v>
      </c>
      <c r="F5" s="60" t="str">
        <f>'Getting Started'!$G$12</f>
        <v/>
      </c>
      <c r="I5" s="59" t="s">
        <v>14</v>
      </c>
      <c r="K5" s="60" t="str">
        <f>'Getting Started'!$I$12</f>
        <v/>
      </c>
      <c r="P5" s="40"/>
    </row>
    <row r="6" ht="15.75" customHeight="1">
      <c r="A6" s="73"/>
      <c r="B6" s="133" t="s">
        <v>64</v>
      </c>
      <c r="P6" s="40"/>
    </row>
    <row r="7" ht="15.75" customHeight="1">
      <c r="A7" s="73"/>
      <c r="B7" s="40" t="str">
        <f>IF('11th Grade (Quarter)'!B7+M52 = 0, "", '11th Grade (Quarter)'!B7+M52)</f>
        <v>Loading...</v>
      </c>
      <c r="C7" s="59" t="s">
        <v>15</v>
      </c>
      <c r="F7" s="62" t="str">
        <f>'Getting Started'!$G$14</f>
        <v/>
      </c>
      <c r="I7" s="59" t="s">
        <v>16</v>
      </c>
      <c r="K7" s="60" t="str">
        <f>'Getting Started'!$I$14</f>
        <v/>
      </c>
      <c r="P7" s="40"/>
    </row>
    <row r="8" ht="15.75" customHeight="1">
      <c r="A8" s="73"/>
      <c r="B8" s="19" t="s">
        <v>84</v>
      </c>
      <c r="P8" s="40"/>
    </row>
    <row r="9" ht="31.5" customHeight="1">
      <c r="A9" s="40"/>
      <c r="B9" s="76" t="s">
        <v>53</v>
      </c>
      <c r="C9" s="8"/>
      <c r="D9" s="8"/>
      <c r="E9" s="8"/>
      <c r="F9" s="8"/>
      <c r="G9" s="8"/>
      <c r="H9" s="8"/>
      <c r="I9" s="8"/>
      <c r="J9" s="77"/>
      <c r="K9" s="78" t="s">
        <v>54</v>
      </c>
      <c r="L9" s="79" t="s">
        <v>55</v>
      </c>
      <c r="M9" s="80" t="s">
        <v>56</v>
      </c>
      <c r="N9" s="81"/>
      <c r="O9" s="82" t="s">
        <v>57</v>
      </c>
      <c r="P9" s="1"/>
    </row>
    <row r="10" ht="15.75" customHeight="1">
      <c r="A10" s="40"/>
      <c r="B10" s="83"/>
      <c r="J10" s="47"/>
      <c r="K10" s="84"/>
      <c r="L10" s="85"/>
      <c r="M10" s="86"/>
      <c r="N10" s="87"/>
      <c r="O10" s="88"/>
      <c r="P10" s="1"/>
    </row>
    <row r="11" ht="15.75" customHeight="1">
      <c r="A11" s="40"/>
      <c r="B11" s="141"/>
      <c r="J11" s="47"/>
      <c r="K11" s="84"/>
      <c r="L11" s="85" t="b">
        <v>0</v>
      </c>
      <c r="M11" s="86"/>
      <c r="N11" s="142"/>
      <c r="O11" s="88"/>
      <c r="P11" s="40"/>
    </row>
    <row r="12" ht="15.75" customHeight="1">
      <c r="A12" s="40"/>
      <c r="B12" s="141"/>
      <c r="J12" s="47"/>
      <c r="K12" s="84"/>
      <c r="L12" s="143" t="b">
        <v>0</v>
      </c>
      <c r="M12" s="86"/>
      <c r="N12" s="142"/>
      <c r="O12" s="144"/>
      <c r="P12" s="40"/>
    </row>
    <row r="13" ht="15.75" customHeight="1">
      <c r="A13" s="40"/>
      <c r="B13" s="141"/>
      <c r="J13" s="47"/>
      <c r="K13" s="145"/>
      <c r="L13" s="85" t="b">
        <v>0</v>
      </c>
      <c r="M13" s="146"/>
      <c r="N13" s="142"/>
      <c r="O13" s="144"/>
      <c r="P13" s="40"/>
    </row>
    <row r="14" ht="15.75" customHeight="1">
      <c r="A14" s="40"/>
      <c r="B14" s="141"/>
      <c r="J14" s="47"/>
      <c r="K14" s="145"/>
      <c r="L14" s="85" t="b">
        <v>0</v>
      </c>
      <c r="M14" s="146"/>
      <c r="N14" s="142"/>
      <c r="O14" s="144"/>
      <c r="P14" s="40"/>
    </row>
    <row r="15" ht="15.75" customHeight="1">
      <c r="A15" s="40"/>
      <c r="B15" s="89"/>
      <c r="C15" s="16"/>
      <c r="D15" s="16"/>
      <c r="E15" s="16"/>
      <c r="F15" s="16"/>
      <c r="G15" s="16"/>
      <c r="H15" s="16"/>
      <c r="I15" s="16"/>
      <c r="J15" s="90"/>
      <c r="K15" s="91"/>
      <c r="L15" s="92" t="b">
        <v>0</v>
      </c>
      <c r="M15" s="93"/>
      <c r="N15" s="94"/>
      <c r="O15" s="95"/>
      <c r="P15" s="40"/>
    </row>
    <row r="16" ht="15.75" customHeight="1">
      <c r="A16" s="40"/>
      <c r="B16" s="147" t="s">
        <v>73</v>
      </c>
      <c r="C16" s="151"/>
      <c r="D16" s="137"/>
      <c r="E16" s="137"/>
      <c r="F16" s="137"/>
      <c r="G16" s="137"/>
      <c r="H16" s="137"/>
      <c r="I16" s="1"/>
      <c r="J16" s="101" t="s">
        <v>85</v>
      </c>
      <c r="K16" s="102"/>
      <c r="L16" s="1"/>
      <c r="M16" s="1"/>
      <c r="N16" s="97"/>
      <c r="O16" s="97"/>
      <c r="P16" s="40"/>
    </row>
    <row r="17" ht="15.75" customHeight="1">
      <c r="A17" s="40"/>
      <c r="B17" s="96"/>
      <c r="C17" s="149"/>
      <c r="I17" s="100"/>
      <c r="J17" s="108" t="s">
        <v>63</v>
      </c>
      <c r="K17" s="109"/>
      <c r="L17" s="110"/>
      <c r="M17" s="111" t="s">
        <v>64</v>
      </c>
      <c r="N17" s="109"/>
      <c r="O17" s="102"/>
      <c r="P17" s="40"/>
    </row>
    <row r="18" ht="15.75" customHeight="1">
      <c r="A18" s="40"/>
      <c r="B18" s="19" t="s">
        <v>86</v>
      </c>
      <c r="C18" s="152"/>
      <c r="D18" s="140"/>
      <c r="E18" s="140"/>
      <c r="F18" s="140"/>
      <c r="G18" s="140"/>
      <c r="H18" s="140"/>
      <c r="I18" s="100"/>
      <c r="J18" s="117" t="str">
        <f t="array" ref="J18">GPA({K10:K15,M10:M15,O10:O15},1,2)</f>
        <v>Loading...</v>
      </c>
      <c r="K18" s="118"/>
      <c r="L18" s="110"/>
      <c r="M18" s="119" t="str">
        <f t="array" ref="M18">CREDITSSUM({K10:K15,M10:M15},1,2)</f>
        <v>Loading...</v>
      </c>
      <c r="N18" s="118"/>
      <c r="O18" s="120"/>
      <c r="P18" s="40"/>
    </row>
    <row r="19" ht="31.5" customHeight="1">
      <c r="A19" s="40"/>
      <c r="B19" s="76" t="s">
        <v>53</v>
      </c>
      <c r="C19" s="8"/>
      <c r="D19" s="8"/>
      <c r="E19" s="8"/>
      <c r="F19" s="8"/>
      <c r="G19" s="8"/>
      <c r="H19" s="8"/>
      <c r="I19" s="8"/>
      <c r="J19" s="77"/>
      <c r="K19" s="78" t="s">
        <v>54</v>
      </c>
      <c r="L19" s="79" t="s">
        <v>55</v>
      </c>
      <c r="M19" s="80" t="s">
        <v>56</v>
      </c>
      <c r="N19" s="81"/>
      <c r="O19" s="82" t="s">
        <v>57</v>
      </c>
      <c r="P19" s="1"/>
    </row>
    <row r="20" ht="15.75" customHeight="1">
      <c r="A20" s="40"/>
      <c r="B20" s="83"/>
      <c r="J20" s="47"/>
      <c r="K20" s="84"/>
      <c r="L20" s="85"/>
      <c r="M20" s="86"/>
      <c r="N20" s="87"/>
      <c r="O20" s="88"/>
      <c r="P20" s="1"/>
    </row>
    <row r="21" ht="15.75" customHeight="1">
      <c r="A21" s="40"/>
      <c r="B21" s="141"/>
      <c r="J21" s="47"/>
      <c r="K21" s="84"/>
      <c r="L21" s="85" t="b">
        <v>0</v>
      </c>
      <c r="M21" s="86"/>
      <c r="N21" s="142"/>
      <c r="O21" s="88"/>
      <c r="P21" s="40"/>
    </row>
    <row r="22" ht="15.75" customHeight="1">
      <c r="A22" s="40"/>
      <c r="B22" s="141"/>
      <c r="J22" s="47"/>
      <c r="K22" s="84"/>
      <c r="L22" s="143" t="b">
        <v>0</v>
      </c>
      <c r="M22" s="86"/>
      <c r="N22" s="142"/>
      <c r="O22" s="144"/>
      <c r="P22" s="40"/>
    </row>
    <row r="23" ht="15.75" customHeight="1">
      <c r="A23" s="40"/>
      <c r="B23" s="141"/>
      <c r="J23" s="47"/>
      <c r="K23" s="145"/>
      <c r="L23" s="143" t="b">
        <v>0</v>
      </c>
      <c r="M23" s="146"/>
      <c r="N23" s="142"/>
      <c r="O23" s="144"/>
      <c r="P23" s="40"/>
    </row>
    <row r="24" ht="15.75" customHeight="1">
      <c r="A24" s="40"/>
      <c r="B24" s="141"/>
      <c r="J24" s="47"/>
      <c r="K24" s="145"/>
      <c r="L24" s="85" t="b">
        <v>0</v>
      </c>
      <c r="M24" s="146"/>
      <c r="N24" s="142"/>
      <c r="O24" s="144"/>
      <c r="P24" s="40"/>
    </row>
    <row r="25" ht="15.75" customHeight="1">
      <c r="A25" s="40"/>
      <c r="B25" s="89"/>
      <c r="C25" s="16"/>
      <c r="D25" s="16"/>
      <c r="E25" s="16"/>
      <c r="F25" s="16"/>
      <c r="G25" s="16"/>
      <c r="H25" s="16"/>
      <c r="I25" s="16"/>
      <c r="J25" s="90"/>
      <c r="K25" s="91"/>
      <c r="L25" s="92" t="b">
        <v>0</v>
      </c>
      <c r="M25" s="93"/>
      <c r="N25" s="94"/>
      <c r="O25" s="95"/>
      <c r="P25" s="40"/>
    </row>
    <row r="26" ht="15.75" customHeight="1">
      <c r="A26" s="40"/>
      <c r="B26" s="147" t="s">
        <v>73</v>
      </c>
      <c r="C26" s="151"/>
      <c r="D26" s="137"/>
      <c r="E26" s="137"/>
      <c r="F26" s="137"/>
      <c r="G26" s="137"/>
      <c r="H26" s="137"/>
      <c r="I26" s="1"/>
      <c r="J26" s="101" t="s">
        <v>87</v>
      </c>
      <c r="K26" s="102"/>
      <c r="L26" s="1"/>
      <c r="M26" s="1"/>
      <c r="N26" s="97"/>
      <c r="O26" s="97"/>
      <c r="P26" s="40"/>
    </row>
    <row r="27" ht="15.75" customHeight="1">
      <c r="A27" s="40"/>
      <c r="B27" s="96"/>
      <c r="C27" s="149"/>
      <c r="I27" s="100"/>
      <c r="J27" s="108" t="s">
        <v>63</v>
      </c>
      <c r="K27" s="109"/>
      <c r="L27" s="110"/>
      <c r="M27" s="111" t="s">
        <v>64</v>
      </c>
      <c r="N27" s="109"/>
      <c r="O27" s="102"/>
      <c r="P27" s="40"/>
    </row>
    <row r="28" ht="15.75" customHeight="1">
      <c r="A28" s="40"/>
      <c r="B28" s="19" t="s">
        <v>88</v>
      </c>
      <c r="C28" s="152"/>
      <c r="D28" s="140"/>
      <c r="E28" s="140"/>
      <c r="F28" s="140"/>
      <c r="G28" s="140"/>
      <c r="H28" s="140"/>
      <c r="I28" s="100"/>
      <c r="J28" s="117" t="str">
        <f t="array" ref="J28">GPA({K20:K25,M20:M25,O20:O25},1,2)</f>
        <v>Loading...</v>
      </c>
      <c r="K28" s="118"/>
      <c r="L28" s="110"/>
      <c r="M28" s="119" t="str">
        <f t="array" ref="M28">CREDITSSUM({K20:K25,M20:M25},1,2)</f>
        <v>Loading...</v>
      </c>
      <c r="N28" s="118"/>
      <c r="O28" s="120"/>
      <c r="P28" s="40"/>
    </row>
    <row r="29" ht="31.5" customHeight="1">
      <c r="A29" s="40"/>
      <c r="B29" s="76" t="s">
        <v>53</v>
      </c>
      <c r="C29" s="8"/>
      <c r="D29" s="8"/>
      <c r="E29" s="8"/>
      <c r="F29" s="8"/>
      <c r="G29" s="8"/>
      <c r="H29" s="8"/>
      <c r="I29" s="8"/>
      <c r="J29" s="77"/>
      <c r="K29" s="78" t="s">
        <v>54</v>
      </c>
      <c r="L29" s="79" t="s">
        <v>55</v>
      </c>
      <c r="M29" s="80" t="s">
        <v>56</v>
      </c>
      <c r="N29" s="81"/>
      <c r="O29" s="82" t="s">
        <v>57</v>
      </c>
      <c r="P29" s="1"/>
    </row>
    <row r="30" ht="15.75" customHeight="1">
      <c r="A30" s="40"/>
      <c r="B30" s="83"/>
      <c r="J30" s="47"/>
      <c r="K30" s="84"/>
      <c r="L30" s="85"/>
      <c r="M30" s="86"/>
      <c r="N30" s="87"/>
      <c r="O30" s="88"/>
      <c r="P30" s="1"/>
    </row>
    <row r="31" ht="15.75" customHeight="1">
      <c r="A31" s="40"/>
      <c r="B31" s="141"/>
      <c r="J31" s="47"/>
      <c r="K31" s="84"/>
      <c r="L31" s="85" t="b">
        <v>0</v>
      </c>
      <c r="M31" s="86"/>
      <c r="N31" s="142"/>
      <c r="O31" s="88"/>
      <c r="P31" s="40"/>
    </row>
    <row r="32" ht="15.75" customHeight="1">
      <c r="A32" s="40"/>
      <c r="B32" s="141"/>
      <c r="J32" s="47"/>
      <c r="K32" s="84"/>
      <c r="L32" s="143" t="b">
        <v>0</v>
      </c>
      <c r="M32" s="86"/>
      <c r="N32" s="142"/>
      <c r="O32" s="144"/>
      <c r="P32" s="40"/>
    </row>
    <row r="33" ht="15.75" customHeight="1">
      <c r="A33" s="40"/>
      <c r="B33" s="141"/>
      <c r="J33" s="47"/>
      <c r="K33" s="145"/>
      <c r="L33" s="143" t="b">
        <v>0</v>
      </c>
      <c r="M33" s="146"/>
      <c r="N33" s="142"/>
      <c r="O33" s="144"/>
      <c r="P33" s="40"/>
    </row>
    <row r="34" ht="15.75" customHeight="1">
      <c r="A34" s="40"/>
      <c r="B34" s="141"/>
      <c r="J34" s="47"/>
      <c r="K34" s="145"/>
      <c r="L34" s="85" t="b">
        <v>0</v>
      </c>
      <c r="M34" s="146"/>
      <c r="N34" s="142"/>
      <c r="O34" s="144"/>
      <c r="P34" s="40"/>
    </row>
    <row r="35" ht="15.75" customHeight="1">
      <c r="A35" s="40"/>
      <c r="B35" s="89"/>
      <c r="C35" s="16"/>
      <c r="D35" s="16"/>
      <c r="E35" s="16"/>
      <c r="F35" s="16"/>
      <c r="G35" s="16"/>
      <c r="H35" s="16"/>
      <c r="I35" s="16"/>
      <c r="J35" s="90"/>
      <c r="K35" s="91"/>
      <c r="L35" s="92" t="b">
        <v>0</v>
      </c>
      <c r="M35" s="93"/>
      <c r="N35" s="94"/>
      <c r="O35" s="95"/>
      <c r="P35" s="40"/>
    </row>
    <row r="36" ht="15.75" customHeight="1">
      <c r="A36" s="40"/>
      <c r="B36" s="147" t="s">
        <v>73</v>
      </c>
      <c r="C36" s="151"/>
      <c r="D36" s="137"/>
      <c r="E36" s="137"/>
      <c r="F36" s="137"/>
      <c r="G36" s="137"/>
      <c r="H36" s="137"/>
      <c r="I36" s="1"/>
      <c r="J36" s="101" t="s">
        <v>89</v>
      </c>
      <c r="K36" s="102"/>
      <c r="L36" s="1"/>
      <c r="M36" s="1"/>
      <c r="N36" s="97"/>
      <c r="O36" s="97"/>
      <c r="P36" s="40"/>
    </row>
    <row r="37" ht="15.75" customHeight="1">
      <c r="A37" s="40"/>
      <c r="B37" s="96"/>
      <c r="C37" s="149"/>
      <c r="I37" s="100"/>
      <c r="J37" s="108" t="s">
        <v>63</v>
      </c>
      <c r="K37" s="109"/>
      <c r="L37" s="110"/>
      <c r="M37" s="111" t="s">
        <v>64</v>
      </c>
      <c r="N37" s="109"/>
      <c r="O37" s="102"/>
      <c r="P37" s="40"/>
    </row>
    <row r="38" ht="15.75" customHeight="1">
      <c r="A38" s="40"/>
      <c r="B38" s="19" t="s">
        <v>90</v>
      </c>
      <c r="C38" s="152"/>
      <c r="D38" s="140"/>
      <c r="E38" s="140"/>
      <c r="F38" s="140"/>
      <c r="G38" s="140"/>
      <c r="H38" s="140"/>
      <c r="I38" s="100"/>
      <c r="J38" s="117" t="str">
        <f t="array" ref="J38">GPA({K30:K35,M30:M35,O30:O35},1,2)</f>
        <v>Loading...</v>
      </c>
      <c r="K38" s="118"/>
      <c r="L38" s="110"/>
      <c r="M38" s="119" t="str">
        <f t="array" ref="M38">CREDITSSUM({K30:K35,M30:M35},1,2)</f>
        <v>Loading...</v>
      </c>
      <c r="N38" s="118"/>
      <c r="O38" s="120"/>
      <c r="P38" s="40"/>
    </row>
    <row r="39" ht="31.5" customHeight="1">
      <c r="A39" s="40"/>
      <c r="B39" s="76" t="s">
        <v>53</v>
      </c>
      <c r="C39" s="8"/>
      <c r="D39" s="8"/>
      <c r="E39" s="8"/>
      <c r="F39" s="8"/>
      <c r="G39" s="8"/>
      <c r="H39" s="8"/>
      <c r="I39" s="8"/>
      <c r="J39" s="77"/>
      <c r="K39" s="78" t="s">
        <v>54</v>
      </c>
      <c r="L39" s="79" t="s">
        <v>55</v>
      </c>
      <c r="M39" s="80" t="s">
        <v>56</v>
      </c>
      <c r="N39" s="81"/>
      <c r="O39" s="82" t="s">
        <v>57</v>
      </c>
      <c r="P39" s="1"/>
    </row>
    <row r="40" ht="15.75" customHeight="1">
      <c r="A40" s="40"/>
      <c r="B40" s="83"/>
      <c r="J40" s="47"/>
      <c r="K40" s="84"/>
      <c r="L40" s="85"/>
      <c r="M40" s="86"/>
      <c r="N40" s="87"/>
      <c r="O40" s="88"/>
      <c r="P40" s="1"/>
    </row>
    <row r="41" ht="15.75" customHeight="1">
      <c r="A41" s="40"/>
      <c r="B41" s="141"/>
      <c r="J41" s="47"/>
      <c r="K41" s="84"/>
      <c r="L41" s="85" t="b">
        <v>0</v>
      </c>
      <c r="M41" s="86"/>
      <c r="N41" s="142"/>
      <c r="O41" s="88"/>
      <c r="P41" s="40"/>
    </row>
    <row r="42" ht="15.75" customHeight="1">
      <c r="A42" s="40"/>
      <c r="B42" s="141"/>
      <c r="J42" s="47"/>
      <c r="K42" s="84"/>
      <c r="L42" s="143" t="b">
        <v>0</v>
      </c>
      <c r="M42" s="86"/>
      <c r="N42" s="142"/>
      <c r="O42" s="144"/>
      <c r="P42" s="40"/>
    </row>
    <row r="43" ht="15.75" customHeight="1">
      <c r="A43" s="40"/>
      <c r="B43" s="141"/>
      <c r="J43" s="47"/>
      <c r="K43" s="145"/>
      <c r="L43" s="143" t="b">
        <v>0</v>
      </c>
      <c r="M43" s="146"/>
      <c r="N43" s="142"/>
      <c r="O43" s="144"/>
      <c r="P43" s="40"/>
    </row>
    <row r="44" ht="15.75" customHeight="1">
      <c r="A44" s="40"/>
      <c r="B44" s="141"/>
      <c r="J44" s="47"/>
      <c r="K44" s="145"/>
      <c r="L44" s="85" t="b">
        <v>0</v>
      </c>
      <c r="M44" s="146"/>
      <c r="N44" s="142"/>
      <c r="O44" s="144"/>
      <c r="P44" s="40"/>
    </row>
    <row r="45" ht="15.75" customHeight="1">
      <c r="A45" s="40"/>
      <c r="B45" s="89"/>
      <c r="C45" s="16"/>
      <c r="D45" s="16"/>
      <c r="E45" s="16"/>
      <c r="F45" s="16"/>
      <c r="G45" s="16"/>
      <c r="H45" s="16"/>
      <c r="I45" s="16"/>
      <c r="J45" s="90"/>
      <c r="K45" s="91"/>
      <c r="L45" s="92" t="b">
        <v>0</v>
      </c>
      <c r="M45" s="93"/>
      <c r="N45" s="94"/>
      <c r="O45" s="95"/>
      <c r="P45" s="40"/>
    </row>
    <row r="46" ht="15.75" customHeight="1">
      <c r="A46" s="40"/>
      <c r="B46" s="147" t="s">
        <v>73</v>
      </c>
      <c r="C46" s="148"/>
      <c r="I46" s="1"/>
      <c r="J46" s="101" t="s">
        <v>91</v>
      </c>
      <c r="K46" s="102"/>
      <c r="L46" s="1"/>
      <c r="M46" s="1"/>
      <c r="N46" s="97"/>
      <c r="O46" s="97"/>
      <c r="P46" s="40"/>
    </row>
    <row r="47" ht="15.75" customHeight="1">
      <c r="A47" s="40"/>
      <c r="C47" s="149"/>
      <c r="I47" s="100"/>
      <c r="J47" s="108" t="s">
        <v>63</v>
      </c>
      <c r="K47" s="109"/>
      <c r="L47" s="110"/>
      <c r="M47" s="111" t="s">
        <v>64</v>
      </c>
      <c r="N47" s="109"/>
      <c r="O47" s="102"/>
      <c r="P47" s="40"/>
    </row>
    <row r="48" ht="15.75" customHeight="1">
      <c r="A48" s="40"/>
      <c r="B48" s="153" t="s">
        <v>58</v>
      </c>
      <c r="C48" s="149"/>
      <c r="I48" s="100"/>
      <c r="J48" s="117" t="str">
        <f t="array" ref="J48">GPA({K40:K45,M40:M45,O40:O45},1,2)</f>
        <v>Loading...</v>
      </c>
      <c r="K48" s="118"/>
      <c r="L48" s="110"/>
      <c r="M48" s="119" t="str">
        <f t="array" ref="M48">CREDITSSUM({K40:K45,M40:M45},1,2)</f>
        <v>Loading...</v>
      </c>
      <c r="N48" s="118"/>
      <c r="O48" s="120"/>
      <c r="P48" s="40"/>
    </row>
    <row r="49" ht="15.75" customHeight="1">
      <c r="A49" s="40"/>
      <c r="B49" s="103" t="s">
        <v>60</v>
      </c>
      <c r="C49" s="104" t="s">
        <v>61</v>
      </c>
      <c r="D49" s="105"/>
      <c r="E49" s="106"/>
      <c r="F49" s="155" t="s">
        <v>62</v>
      </c>
      <c r="G49" s="105"/>
      <c r="H49" s="107"/>
      <c r="I49" s="110"/>
      <c r="J49" s="1"/>
      <c r="K49" s="1"/>
      <c r="L49" s="1"/>
      <c r="M49" s="1"/>
      <c r="N49" s="1"/>
      <c r="O49" s="1"/>
      <c r="P49" s="40"/>
    </row>
    <row r="50" ht="15.75" customHeight="1">
      <c r="A50" s="40"/>
      <c r="B50" s="112"/>
      <c r="C50" s="113" t="s">
        <v>65</v>
      </c>
      <c r="D50" s="114" t="s">
        <v>66</v>
      </c>
      <c r="E50" s="115" t="s">
        <v>67</v>
      </c>
      <c r="F50" s="113" t="s">
        <v>65</v>
      </c>
      <c r="G50" s="114" t="s">
        <v>66</v>
      </c>
      <c r="H50" s="116" t="s">
        <v>67</v>
      </c>
      <c r="I50" s="110"/>
      <c r="J50" s="101" t="s">
        <v>59</v>
      </c>
      <c r="K50" s="102"/>
      <c r="L50" s="1"/>
      <c r="M50" s="1"/>
      <c r="N50" s="97"/>
      <c r="O50" s="97"/>
      <c r="P50" s="40"/>
    </row>
    <row r="51" ht="15.75" customHeight="1">
      <c r="A51" s="40"/>
      <c r="B51" s="132" t="s">
        <v>68</v>
      </c>
      <c r="C51" s="122"/>
      <c r="D51" s="84"/>
      <c r="E51" s="123"/>
      <c r="F51" s="86"/>
      <c r="G51" s="84"/>
      <c r="H51" s="124"/>
      <c r="I51" s="110"/>
      <c r="J51" s="108" t="s">
        <v>63</v>
      </c>
      <c r="K51" s="109"/>
      <c r="L51" s="110"/>
      <c r="M51" s="111" t="s">
        <v>64</v>
      </c>
      <c r="N51" s="109"/>
      <c r="O51" s="102"/>
      <c r="P51" s="40"/>
    </row>
    <row r="52" ht="15.75" customHeight="1">
      <c r="A52" s="40"/>
      <c r="B52" s="132" t="s">
        <v>69</v>
      </c>
      <c r="C52" s="122"/>
      <c r="D52" s="84"/>
      <c r="E52" s="123"/>
      <c r="F52" s="86"/>
      <c r="G52" s="84"/>
      <c r="H52" s="124"/>
      <c r="I52" s="110"/>
      <c r="J52" s="117" t="str">
        <f t="array" ref="J52">GPA({K10:K15,M10:M15,O10:O15;K20:K25,M20:M25,O20:O25;K30:K35,M30:M35,O30:O35;K40:K45,M40:M45,O40:O45},1,2)</f>
        <v>Loading...</v>
      </c>
      <c r="K52" s="118"/>
      <c r="L52" s="110"/>
      <c r="M52" s="119" t="str">
        <f t="array" ref="M52">CREDITSSUM({K10:K15,M10:M15;K20:K25,M20:M25;K30:K35,M30:M35;K40:K45,M40:M45},1,2)</f>
        <v>Loading...</v>
      </c>
      <c r="N52" s="118"/>
      <c r="O52" s="120"/>
      <c r="P52" s="40"/>
    </row>
    <row r="53" ht="15.75" customHeight="1">
      <c r="A53" s="40"/>
      <c r="B53" s="121" t="s">
        <v>70</v>
      </c>
      <c r="C53" s="122"/>
      <c r="D53" s="84"/>
      <c r="E53" s="123"/>
      <c r="F53" s="86"/>
      <c r="G53" s="84"/>
      <c r="H53" s="124"/>
      <c r="I53" s="97"/>
      <c r="J53" s="97"/>
      <c r="K53" s="97"/>
      <c r="L53" s="131"/>
      <c r="M53" s="97"/>
      <c r="N53" s="97"/>
      <c r="O53" s="97"/>
      <c r="P53" s="40"/>
    </row>
    <row r="54" ht="15.75" customHeight="1">
      <c r="A54" s="40"/>
      <c r="B54" s="125" t="s">
        <v>71</v>
      </c>
      <c r="C54" s="126"/>
      <c r="D54" s="127"/>
      <c r="E54" s="128"/>
      <c r="F54" s="129"/>
      <c r="G54" s="127"/>
      <c r="H54" s="130"/>
      <c r="I54" s="97"/>
      <c r="J54" s="97"/>
      <c r="K54" s="97"/>
      <c r="L54" s="131"/>
      <c r="M54" s="97"/>
      <c r="N54" s="97"/>
      <c r="O54" s="97"/>
      <c r="P54" s="40"/>
    </row>
    <row r="55" ht="15.75" customHeight="1">
      <c r="A55" s="40"/>
      <c r="B55" s="96"/>
      <c r="C55" s="97"/>
      <c r="D55" s="97"/>
      <c r="E55" s="97"/>
      <c r="F55" s="97"/>
      <c r="G55" s="97"/>
      <c r="H55" s="97"/>
      <c r="I55" s="97"/>
      <c r="J55" s="97"/>
      <c r="K55" s="97"/>
      <c r="L55" s="131"/>
      <c r="M55" s="97"/>
      <c r="N55" s="97"/>
      <c r="O55" s="97"/>
      <c r="P55" s="40"/>
    </row>
  </sheetData>
  <mergeCells count="78">
    <mergeCell ref="C36:H38"/>
    <mergeCell ref="J36:K36"/>
    <mergeCell ref="J37:K37"/>
    <mergeCell ref="M37:O37"/>
    <mergeCell ref="J38:K38"/>
    <mergeCell ref="M38:O38"/>
    <mergeCell ref="B39:J39"/>
    <mergeCell ref="J46:K46"/>
    <mergeCell ref="J47:K47"/>
    <mergeCell ref="M47:O47"/>
    <mergeCell ref="J48:K48"/>
    <mergeCell ref="M48:O48"/>
    <mergeCell ref="B49:B50"/>
    <mergeCell ref="C49:E49"/>
    <mergeCell ref="F49:H49"/>
    <mergeCell ref="J50:K50"/>
    <mergeCell ref="J51:K51"/>
    <mergeCell ref="M51:O51"/>
    <mergeCell ref="J52:K52"/>
    <mergeCell ref="M52:O52"/>
    <mergeCell ref="B40:J40"/>
    <mergeCell ref="B41:J41"/>
    <mergeCell ref="B42:J42"/>
    <mergeCell ref="B43:J43"/>
    <mergeCell ref="B44:J44"/>
    <mergeCell ref="B45:J45"/>
    <mergeCell ref="C46:H48"/>
    <mergeCell ref="C1:H2"/>
    <mergeCell ref="I1:O2"/>
    <mergeCell ref="C3:E3"/>
    <mergeCell ref="F3:H3"/>
    <mergeCell ref="I3:J3"/>
    <mergeCell ref="K3:O3"/>
    <mergeCell ref="C4:E4"/>
    <mergeCell ref="K4:O4"/>
    <mergeCell ref="F4:H4"/>
    <mergeCell ref="I4:J4"/>
    <mergeCell ref="C5:E6"/>
    <mergeCell ref="F5:H6"/>
    <mergeCell ref="I5:J6"/>
    <mergeCell ref="K5:O6"/>
    <mergeCell ref="C7:E8"/>
    <mergeCell ref="K7:O8"/>
    <mergeCell ref="F7:H8"/>
    <mergeCell ref="I7:J8"/>
    <mergeCell ref="B9:J9"/>
    <mergeCell ref="B10:J10"/>
    <mergeCell ref="B11:J11"/>
    <mergeCell ref="B12:J12"/>
    <mergeCell ref="B13:J13"/>
    <mergeCell ref="B14:J14"/>
    <mergeCell ref="B15:J15"/>
    <mergeCell ref="C16:H18"/>
    <mergeCell ref="J16:K16"/>
    <mergeCell ref="J17:K17"/>
    <mergeCell ref="M17:O17"/>
    <mergeCell ref="M18:O18"/>
    <mergeCell ref="J18:K18"/>
    <mergeCell ref="B19:J19"/>
    <mergeCell ref="B20:J20"/>
    <mergeCell ref="B21:J21"/>
    <mergeCell ref="B22:J22"/>
    <mergeCell ref="B23:J23"/>
    <mergeCell ref="B24:J24"/>
    <mergeCell ref="B25:J25"/>
    <mergeCell ref="C26:H28"/>
    <mergeCell ref="J26:K26"/>
    <mergeCell ref="J27:K27"/>
    <mergeCell ref="M27:O27"/>
    <mergeCell ref="J28:K28"/>
    <mergeCell ref="M28:O28"/>
    <mergeCell ref="B29:J29"/>
    <mergeCell ref="B30:J30"/>
    <mergeCell ref="B31:J31"/>
    <mergeCell ref="B32:J32"/>
    <mergeCell ref="B33:J33"/>
    <mergeCell ref="B34:J34"/>
    <mergeCell ref="B35:J35"/>
  </mergeCells>
  <dataValidations>
    <dataValidation type="custom" allowBlank="1" showDropDown="1" showInputMessage="1" showErrorMessage="1" prompt="Enter a number" sqref="K10:K14 O10:O15 K20:K24 O20:O25 K30:K34 O30:O35 K40:K44 O40:O45">
      <formula1>ISNUMBER(K10)</formula1>
    </dataValidation>
    <dataValidation type="list" allowBlank="1" showInputMessage="1" showErrorMessage="1" prompt="Click and enter a valid scale from the list of items. The valid scales are Letter, 0-100, 0-4, and None" sqref="B3">
      <formula1>"Letter,0-4,0-100,None"</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8.88"/>
    <col customWidth="1" min="3" max="8" width="6.38"/>
    <col customWidth="1" hidden="1" min="9" max="9" width="18.88"/>
    <col customWidth="1" min="10" max="10" width="18.88"/>
    <col customWidth="1" min="11" max="11" width="6.38"/>
    <col customWidth="1" hidden="1" min="12" max="12" width="18.88"/>
    <col customWidth="1" min="13" max="13" width="6.38"/>
    <col customWidth="1" hidden="1" min="14" max="14" width="6.38"/>
    <col customWidth="1" min="15" max="15" width="6.38"/>
  </cols>
  <sheetData>
    <row r="1" ht="31.5" customHeight="1">
      <c r="A1" s="58"/>
      <c r="B1" s="1"/>
      <c r="C1" s="71" t="s">
        <v>5</v>
      </c>
      <c r="I1" s="58" t="s">
        <v>6</v>
      </c>
      <c r="P1" s="72"/>
    </row>
    <row r="2" ht="15.75" customHeight="1">
      <c r="A2" s="73"/>
      <c r="B2" s="74" t="s">
        <v>50</v>
      </c>
      <c r="C2" s="59" t="s">
        <v>8</v>
      </c>
      <c r="F2" s="60" t="str">
        <f>'Getting Started'!$G$10</f>
        <v/>
      </c>
      <c r="I2" s="59" t="s">
        <v>9</v>
      </c>
      <c r="K2" s="60" t="str">
        <f>'Getting Started'!$I$10</f>
        <v/>
      </c>
      <c r="P2" s="40"/>
    </row>
    <row r="3" ht="15.75" customHeight="1">
      <c r="A3" s="73"/>
      <c r="B3" s="75" t="s">
        <v>51</v>
      </c>
      <c r="C3" s="59" t="s">
        <v>11</v>
      </c>
      <c r="F3" s="61" t="str">
        <f>'Getting Started'!$G$11</f>
        <v/>
      </c>
      <c r="I3" s="59" t="s">
        <v>12</v>
      </c>
      <c r="K3" s="60" t="str">
        <f>'Getting Started'!$I$11</f>
        <v/>
      </c>
      <c r="P3" s="40"/>
    </row>
    <row r="4" ht="31.5" customHeight="1">
      <c r="A4" s="73"/>
      <c r="B4" s="1"/>
      <c r="C4" s="59" t="s">
        <v>13</v>
      </c>
      <c r="F4" s="60" t="str">
        <f>'Getting Started'!$G$12</f>
        <v/>
      </c>
      <c r="I4" s="59" t="s">
        <v>14</v>
      </c>
      <c r="K4" s="60" t="str">
        <f>'Getting Started'!$I$12</f>
        <v/>
      </c>
      <c r="P4" s="40"/>
    </row>
    <row r="5" ht="15.75" customHeight="1">
      <c r="A5" s="73"/>
      <c r="B5" s="1"/>
      <c r="C5" s="59" t="s">
        <v>15</v>
      </c>
      <c r="F5" s="62" t="str">
        <f>'Getting Started'!$G$14</f>
        <v/>
      </c>
      <c r="I5" s="59" t="s">
        <v>16</v>
      </c>
      <c r="K5" s="60" t="str">
        <f>'Getting Started'!$I$14</f>
        <v/>
      </c>
      <c r="P5" s="40"/>
    </row>
    <row r="6" ht="15.75" customHeight="1">
      <c r="A6" s="73"/>
      <c r="B6" s="19" t="s">
        <v>52</v>
      </c>
      <c r="P6" s="40"/>
    </row>
    <row r="7" ht="31.5" customHeight="1">
      <c r="A7" s="40"/>
      <c r="B7" s="76" t="s">
        <v>53</v>
      </c>
      <c r="C7" s="8"/>
      <c r="D7" s="8"/>
      <c r="E7" s="8"/>
      <c r="F7" s="8"/>
      <c r="G7" s="8"/>
      <c r="H7" s="8"/>
      <c r="I7" s="8"/>
      <c r="J7" s="77"/>
      <c r="K7" s="78" t="s">
        <v>54</v>
      </c>
      <c r="L7" s="79" t="s">
        <v>55</v>
      </c>
      <c r="M7" s="80" t="s">
        <v>56</v>
      </c>
      <c r="N7" s="81"/>
      <c r="O7" s="82" t="s">
        <v>57</v>
      </c>
      <c r="P7" s="1"/>
    </row>
    <row r="8" ht="15.75" customHeight="1">
      <c r="A8" s="40"/>
      <c r="B8" s="83"/>
      <c r="J8" s="47"/>
      <c r="K8" s="84"/>
      <c r="L8" s="85" t="b">
        <v>0</v>
      </c>
      <c r="M8" s="86"/>
      <c r="N8" s="87"/>
      <c r="O8" s="88"/>
      <c r="P8" s="1"/>
    </row>
    <row r="9" ht="15.75" customHeight="1">
      <c r="A9" s="40"/>
      <c r="B9" s="83"/>
      <c r="J9" s="47"/>
      <c r="K9" s="84"/>
      <c r="L9" s="85" t="b">
        <v>0</v>
      </c>
      <c r="M9" s="86"/>
      <c r="N9" s="87"/>
      <c r="O9" s="88"/>
      <c r="P9" s="1"/>
    </row>
    <row r="10" ht="15.75" customHeight="1">
      <c r="A10" s="40"/>
      <c r="B10" s="83"/>
      <c r="J10" s="47"/>
      <c r="K10" s="84"/>
      <c r="L10" s="85" t="b">
        <v>0</v>
      </c>
      <c r="M10" s="86"/>
      <c r="N10" s="87"/>
      <c r="O10" s="88"/>
      <c r="P10" s="1"/>
    </row>
    <row r="11" ht="15.75" customHeight="1">
      <c r="A11" s="40"/>
      <c r="B11" s="83"/>
      <c r="J11" s="47"/>
      <c r="K11" s="84"/>
      <c r="L11" s="85" t="b">
        <v>0</v>
      </c>
      <c r="M11" s="86"/>
      <c r="N11" s="87"/>
      <c r="O11" s="88"/>
      <c r="P11" s="1"/>
    </row>
    <row r="12" ht="15.75" customHeight="1">
      <c r="A12" s="40"/>
      <c r="B12" s="83"/>
      <c r="J12" s="47"/>
      <c r="K12" s="84"/>
      <c r="L12" s="85" t="b">
        <v>0</v>
      </c>
      <c r="M12" s="86"/>
      <c r="N12" s="87"/>
      <c r="O12" s="88"/>
      <c r="P12" s="1"/>
    </row>
    <row r="13" ht="15.75" customHeight="1">
      <c r="A13" s="40"/>
      <c r="B13" s="83"/>
      <c r="J13" s="47"/>
      <c r="K13" s="84"/>
      <c r="L13" s="85" t="b">
        <v>0</v>
      </c>
      <c r="M13" s="86"/>
      <c r="N13" s="87"/>
      <c r="O13" s="88"/>
      <c r="P13" s="1"/>
    </row>
    <row r="14" ht="15.75" customHeight="1">
      <c r="A14" s="40"/>
      <c r="B14" s="83"/>
      <c r="J14" s="47"/>
      <c r="K14" s="84"/>
      <c r="L14" s="85" t="b">
        <v>0</v>
      </c>
      <c r="M14" s="86"/>
      <c r="N14" s="87"/>
      <c r="O14" s="88"/>
      <c r="P14" s="1"/>
    </row>
    <row r="15" ht="15.75" customHeight="1">
      <c r="A15" s="40"/>
      <c r="B15" s="83"/>
      <c r="J15" s="47"/>
      <c r="K15" s="84"/>
      <c r="L15" s="85" t="b">
        <v>0</v>
      </c>
      <c r="M15" s="86"/>
      <c r="N15" s="87"/>
      <c r="O15" s="88"/>
      <c r="P15" s="1"/>
    </row>
    <row r="16" ht="15.75" customHeight="1">
      <c r="A16" s="40"/>
      <c r="B16" s="83"/>
      <c r="J16" s="47"/>
      <c r="K16" s="84"/>
      <c r="L16" s="85" t="b">
        <v>0</v>
      </c>
      <c r="M16" s="86"/>
      <c r="N16" s="87"/>
      <c r="O16" s="88"/>
      <c r="P16" s="1"/>
    </row>
    <row r="17" ht="15.75" customHeight="1">
      <c r="A17" s="40"/>
      <c r="B17" s="83"/>
      <c r="J17" s="47"/>
      <c r="K17" s="84"/>
      <c r="L17" s="85" t="b">
        <v>0</v>
      </c>
      <c r="M17" s="86"/>
      <c r="N17" s="87"/>
      <c r="O17" s="88"/>
      <c r="P17" s="1"/>
    </row>
    <row r="18" ht="15.75" customHeight="1">
      <c r="A18" s="40"/>
      <c r="B18" s="83"/>
      <c r="J18" s="47"/>
      <c r="K18" s="84"/>
      <c r="L18" s="85" t="b">
        <v>0</v>
      </c>
      <c r="M18" s="86"/>
      <c r="N18" s="87"/>
      <c r="O18" s="88"/>
      <c r="P18" s="1"/>
    </row>
    <row r="19" ht="15.75" customHeight="1">
      <c r="A19" s="40"/>
      <c r="B19" s="83"/>
      <c r="J19" s="47"/>
      <c r="K19" s="84"/>
      <c r="L19" s="85" t="b">
        <v>0</v>
      </c>
      <c r="M19" s="86"/>
      <c r="N19" s="87"/>
      <c r="O19" s="88"/>
      <c r="P19" s="1"/>
    </row>
    <row r="20" ht="15.75" customHeight="1">
      <c r="A20" s="40"/>
      <c r="B20" s="83"/>
      <c r="J20" s="47"/>
      <c r="K20" s="84"/>
      <c r="L20" s="85" t="b">
        <v>0</v>
      </c>
      <c r="M20" s="86"/>
      <c r="N20" s="87"/>
      <c r="O20" s="88"/>
      <c r="P20" s="1"/>
    </row>
    <row r="21" ht="15.75" customHeight="1">
      <c r="A21" s="40"/>
      <c r="B21" s="83"/>
      <c r="J21" s="47"/>
      <c r="K21" s="84"/>
      <c r="L21" s="85" t="b">
        <v>0</v>
      </c>
      <c r="M21" s="86"/>
      <c r="N21" s="87"/>
      <c r="O21" s="88"/>
      <c r="P21" s="1"/>
    </row>
    <row r="22" ht="15.75" customHeight="1">
      <c r="A22" s="40"/>
      <c r="B22" s="83"/>
      <c r="J22" s="47"/>
      <c r="K22" s="84"/>
      <c r="L22" s="85" t="b">
        <v>0</v>
      </c>
      <c r="M22" s="86"/>
      <c r="N22" s="87"/>
      <c r="O22" s="88"/>
      <c r="P22" s="1"/>
    </row>
    <row r="23" ht="15.75" customHeight="1">
      <c r="A23" s="40"/>
      <c r="B23" s="83"/>
      <c r="J23" s="47"/>
      <c r="K23" s="84"/>
      <c r="L23" s="85" t="b">
        <v>0</v>
      </c>
      <c r="M23" s="86"/>
      <c r="N23" s="87"/>
      <c r="O23" s="88"/>
      <c r="P23" s="1"/>
    </row>
    <row r="24" ht="15.75" customHeight="1">
      <c r="A24" s="40"/>
      <c r="B24" s="83"/>
      <c r="J24" s="47"/>
      <c r="K24" s="84"/>
      <c r="L24" s="85" t="b">
        <v>0</v>
      </c>
      <c r="M24" s="86"/>
      <c r="N24" s="87"/>
      <c r="O24" s="88"/>
      <c r="P24" s="1"/>
    </row>
    <row r="25" ht="15.75" customHeight="1">
      <c r="A25" s="40"/>
      <c r="B25" s="83"/>
      <c r="J25" s="47"/>
      <c r="K25" s="84"/>
      <c r="L25" s="85" t="b">
        <v>0</v>
      </c>
      <c r="M25" s="86"/>
      <c r="N25" s="87"/>
      <c r="O25" s="88"/>
      <c r="P25" s="1"/>
    </row>
    <row r="26" ht="15.75" customHeight="1">
      <c r="A26" s="40"/>
      <c r="B26" s="83"/>
      <c r="J26" s="47"/>
      <c r="K26" s="84"/>
      <c r="L26" s="85" t="b">
        <v>0</v>
      </c>
      <c r="M26" s="86"/>
      <c r="N26" s="87"/>
      <c r="O26" s="88"/>
      <c r="P26" s="1"/>
    </row>
    <row r="27" ht="15.75" customHeight="1">
      <c r="A27" s="40"/>
      <c r="B27" s="83"/>
      <c r="J27" s="47"/>
      <c r="K27" s="84"/>
      <c r="L27" s="85" t="b">
        <v>0</v>
      </c>
      <c r="M27" s="86"/>
      <c r="N27" s="87"/>
      <c r="O27" s="88"/>
      <c r="P27" s="1"/>
    </row>
    <row r="28" ht="15.75" customHeight="1">
      <c r="A28" s="40"/>
      <c r="B28" s="83"/>
      <c r="J28" s="47"/>
      <c r="K28" s="84"/>
      <c r="L28" s="85" t="b">
        <v>0</v>
      </c>
      <c r="M28" s="86"/>
      <c r="N28" s="87"/>
      <c r="O28" s="88"/>
      <c r="P28" s="1"/>
    </row>
    <row r="29" ht="15.75" customHeight="1">
      <c r="A29" s="40"/>
      <c r="B29" s="83"/>
      <c r="J29" s="47"/>
      <c r="K29" s="84"/>
      <c r="L29" s="85" t="b">
        <v>0</v>
      </c>
      <c r="M29" s="86"/>
      <c r="N29" s="87"/>
      <c r="O29" s="88"/>
      <c r="P29" s="1"/>
    </row>
    <row r="30" ht="15.75" customHeight="1">
      <c r="A30" s="40"/>
      <c r="B30" s="83"/>
      <c r="J30" s="47"/>
      <c r="K30" s="84"/>
      <c r="L30" s="85" t="b">
        <v>0</v>
      </c>
      <c r="M30" s="86"/>
      <c r="N30" s="87"/>
      <c r="O30" s="88"/>
      <c r="P30" s="1"/>
    </row>
    <row r="31" ht="15.75" customHeight="1">
      <c r="A31" s="40"/>
      <c r="B31" s="83"/>
      <c r="J31" s="47"/>
      <c r="K31" s="84"/>
      <c r="L31" s="85" t="b">
        <v>0</v>
      </c>
      <c r="M31" s="86"/>
      <c r="N31" s="87"/>
      <c r="O31" s="88"/>
      <c r="P31" s="1"/>
    </row>
    <row r="32" ht="15.75" customHeight="1">
      <c r="A32" s="40"/>
      <c r="B32" s="83"/>
      <c r="J32" s="47"/>
      <c r="K32" s="84"/>
      <c r="L32" s="85" t="b">
        <v>0</v>
      </c>
      <c r="M32" s="86"/>
      <c r="N32" s="87"/>
      <c r="O32" s="88"/>
      <c r="P32" s="1"/>
    </row>
    <row r="33" ht="15.75" customHeight="1">
      <c r="A33" s="40"/>
      <c r="B33" s="83"/>
      <c r="J33" s="47"/>
      <c r="K33" s="84"/>
      <c r="L33" s="85" t="b">
        <v>0</v>
      </c>
      <c r="M33" s="86"/>
      <c r="N33" s="87"/>
      <c r="O33" s="88"/>
      <c r="P33" s="1"/>
    </row>
    <row r="34" ht="15.75" customHeight="1">
      <c r="A34" s="40"/>
      <c r="B34" s="83"/>
      <c r="J34" s="47"/>
      <c r="K34" s="84"/>
      <c r="L34" s="85" t="b">
        <v>0</v>
      </c>
      <c r="M34" s="86"/>
      <c r="N34" s="87"/>
      <c r="O34" s="88"/>
      <c r="P34" s="1"/>
    </row>
    <row r="35" ht="15.75" customHeight="1">
      <c r="A35" s="40"/>
      <c r="B35" s="83"/>
      <c r="J35" s="47"/>
      <c r="K35" s="84"/>
      <c r="L35" s="85" t="b">
        <v>0</v>
      </c>
      <c r="M35" s="86"/>
      <c r="N35" s="87"/>
      <c r="O35" s="88"/>
      <c r="P35" s="1"/>
    </row>
    <row r="36" ht="15.75" customHeight="1">
      <c r="A36" s="40"/>
      <c r="B36" s="83"/>
      <c r="J36" s="47"/>
      <c r="K36" s="84"/>
      <c r="L36" s="85" t="b">
        <v>0</v>
      </c>
      <c r="M36" s="86"/>
      <c r="N36" s="87"/>
      <c r="O36" s="88"/>
      <c r="P36" s="1"/>
    </row>
    <row r="37" ht="15.75" customHeight="1">
      <c r="A37" s="40"/>
      <c r="B37" s="83"/>
      <c r="J37" s="47"/>
      <c r="K37" s="84"/>
      <c r="L37" s="85" t="b">
        <v>0</v>
      </c>
      <c r="M37" s="86"/>
      <c r="N37" s="87"/>
      <c r="O37" s="88"/>
      <c r="P37" s="1"/>
    </row>
    <row r="38" ht="15.75" customHeight="1">
      <c r="A38" s="40"/>
      <c r="B38" s="83"/>
      <c r="J38" s="47"/>
      <c r="K38" s="84"/>
      <c r="L38" s="85" t="b">
        <v>0</v>
      </c>
      <c r="M38" s="86"/>
      <c r="N38" s="87"/>
      <c r="O38" s="88"/>
      <c r="P38" s="1"/>
    </row>
    <row r="39" ht="15.75" customHeight="1">
      <c r="A39" s="40"/>
      <c r="B39" s="83"/>
      <c r="J39" s="47"/>
      <c r="K39" s="84"/>
      <c r="L39" s="85" t="b">
        <v>0</v>
      </c>
      <c r="M39" s="86"/>
      <c r="N39" s="87"/>
      <c r="O39" s="88"/>
      <c r="P39" s="1"/>
    </row>
    <row r="40" ht="15.75" customHeight="1">
      <c r="A40" s="40"/>
      <c r="B40" s="83"/>
      <c r="J40" s="47"/>
      <c r="K40" s="84"/>
      <c r="L40" s="85" t="b">
        <v>0</v>
      </c>
      <c r="M40" s="86"/>
      <c r="N40" s="87"/>
      <c r="O40" s="88"/>
      <c r="P40" s="1"/>
    </row>
    <row r="41" ht="15.75" customHeight="1">
      <c r="A41" s="40"/>
      <c r="B41" s="83"/>
      <c r="J41" s="47"/>
      <c r="K41" s="84"/>
      <c r="L41" s="85" t="b">
        <v>0</v>
      </c>
      <c r="M41" s="86"/>
      <c r="N41" s="87"/>
      <c r="O41" s="88"/>
      <c r="P41" s="1"/>
    </row>
    <row r="42" ht="15.75" customHeight="1">
      <c r="A42" s="40"/>
      <c r="B42" s="83"/>
      <c r="J42" s="47"/>
      <c r="K42" s="84"/>
      <c r="L42" s="85" t="b">
        <v>0</v>
      </c>
      <c r="M42" s="86"/>
      <c r="N42" s="87"/>
      <c r="O42" s="88"/>
      <c r="P42" s="1"/>
    </row>
    <row r="43" ht="15.75" customHeight="1">
      <c r="A43" s="40"/>
      <c r="B43" s="83"/>
      <c r="J43" s="47"/>
      <c r="K43" s="84"/>
      <c r="L43" s="85" t="b">
        <v>0</v>
      </c>
      <c r="M43" s="86"/>
      <c r="N43" s="87"/>
      <c r="O43" s="88"/>
      <c r="P43" s="1"/>
    </row>
    <row r="44" ht="15.75" customHeight="1">
      <c r="A44" s="40"/>
      <c r="B44" s="83"/>
      <c r="J44" s="47"/>
      <c r="K44" s="84"/>
      <c r="L44" s="85" t="b">
        <v>0</v>
      </c>
      <c r="M44" s="86"/>
      <c r="N44" s="87"/>
      <c r="O44" s="88"/>
      <c r="P44" s="1"/>
    </row>
    <row r="45" ht="15.75" customHeight="1">
      <c r="A45" s="40"/>
      <c r="B45" s="83"/>
      <c r="J45" s="47"/>
      <c r="K45" s="84"/>
      <c r="L45" s="85" t="b">
        <v>0</v>
      </c>
      <c r="M45" s="86"/>
      <c r="N45" s="87"/>
      <c r="O45" s="88"/>
      <c r="P45" s="1"/>
    </row>
    <row r="46" ht="15.75" customHeight="1">
      <c r="A46" s="40"/>
      <c r="B46" s="83"/>
      <c r="J46" s="47"/>
      <c r="K46" s="84"/>
      <c r="L46" s="85" t="b">
        <v>0</v>
      </c>
      <c r="M46" s="86"/>
      <c r="N46" s="87"/>
      <c r="O46" s="88"/>
      <c r="P46" s="1"/>
    </row>
    <row r="47" ht="15.75" customHeight="1">
      <c r="A47" s="40"/>
      <c r="B47" s="83"/>
      <c r="J47" s="47"/>
      <c r="K47" s="84"/>
      <c r="L47" s="85" t="b">
        <v>0</v>
      </c>
      <c r="M47" s="86"/>
      <c r="N47" s="87"/>
      <c r="O47" s="88"/>
      <c r="P47" s="1"/>
    </row>
    <row r="48" ht="15.75" customHeight="1">
      <c r="A48" s="40"/>
      <c r="B48" s="83"/>
      <c r="J48" s="47"/>
      <c r="K48" s="84"/>
      <c r="L48" s="85" t="b">
        <v>0</v>
      </c>
      <c r="M48" s="86"/>
      <c r="N48" s="87"/>
      <c r="O48" s="88"/>
      <c r="P48" s="1"/>
    </row>
    <row r="49" ht="15.75" customHeight="1">
      <c r="A49" s="40"/>
      <c r="B49" s="89"/>
      <c r="C49" s="16"/>
      <c r="D49" s="16"/>
      <c r="E49" s="16"/>
      <c r="F49" s="16"/>
      <c r="G49" s="16"/>
      <c r="H49" s="16"/>
      <c r="I49" s="16"/>
      <c r="J49" s="90"/>
      <c r="K49" s="91"/>
      <c r="L49" s="92" t="b">
        <v>0</v>
      </c>
      <c r="M49" s="93"/>
      <c r="N49" s="94"/>
      <c r="O49" s="95"/>
      <c r="P49" s="40"/>
    </row>
    <row r="50" ht="15.75" customHeight="1">
      <c r="A50" s="40"/>
      <c r="B50" s="96"/>
      <c r="C50" s="96"/>
      <c r="D50" s="96"/>
      <c r="E50" s="96"/>
      <c r="F50" s="96"/>
      <c r="G50" s="96"/>
      <c r="H50" s="96"/>
      <c r="I50" s="1"/>
      <c r="J50" s="1"/>
      <c r="K50" s="1"/>
      <c r="L50" s="1"/>
      <c r="M50" s="1"/>
      <c r="N50" s="97"/>
      <c r="O50" s="97"/>
      <c r="P50" s="40"/>
    </row>
    <row r="51" ht="15.75" customHeight="1">
      <c r="A51" s="40"/>
      <c r="B51" s="98" t="s">
        <v>58</v>
      </c>
      <c r="C51" s="99"/>
      <c r="D51" s="99"/>
      <c r="E51" s="99"/>
      <c r="F51" s="99"/>
      <c r="G51" s="99"/>
      <c r="H51" s="99"/>
      <c r="I51" s="100"/>
      <c r="J51" s="101" t="s">
        <v>59</v>
      </c>
      <c r="K51" s="102"/>
      <c r="L51" s="1"/>
      <c r="M51" s="1"/>
      <c r="N51" s="97"/>
      <c r="O51" s="97"/>
      <c r="P51" s="40"/>
    </row>
    <row r="52" ht="15.75" customHeight="1">
      <c r="A52" s="40"/>
      <c r="B52" s="103" t="s">
        <v>60</v>
      </c>
      <c r="C52" s="104" t="s">
        <v>61</v>
      </c>
      <c r="D52" s="105"/>
      <c r="E52" s="106"/>
      <c r="F52" s="104" t="s">
        <v>62</v>
      </c>
      <c r="G52" s="105"/>
      <c r="H52" s="107"/>
      <c r="I52" s="100"/>
      <c r="J52" s="108" t="s">
        <v>63</v>
      </c>
      <c r="K52" s="109"/>
      <c r="L52" s="110"/>
      <c r="M52" s="111" t="s">
        <v>64</v>
      </c>
      <c r="N52" s="109"/>
      <c r="O52" s="102"/>
      <c r="P52" s="40"/>
    </row>
    <row r="53" ht="15.75" customHeight="1">
      <c r="A53" s="40"/>
      <c r="B53" s="112"/>
      <c r="C53" s="113" t="s">
        <v>65</v>
      </c>
      <c r="D53" s="114" t="s">
        <v>66</v>
      </c>
      <c r="E53" s="115" t="s">
        <v>67</v>
      </c>
      <c r="F53" s="113" t="s">
        <v>65</v>
      </c>
      <c r="G53" s="114" t="s">
        <v>66</v>
      </c>
      <c r="H53" s="116" t="s">
        <v>67</v>
      </c>
      <c r="I53" s="110"/>
      <c r="J53" s="117" t="str">
        <f t="array" ref="J53">GPA({$K$8:$K$49,$M$8:$M$49,$O$8:$O$49},1,2)</f>
        <v>Loading...</v>
      </c>
      <c r="K53" s="118"/>
      <c r="L53" s="110"/>
      <c r="M53" s="119" t="str">
        <f t="array" ref="M53">CREDITSSUM({$K$8:$K$49,$M$8:$M$49},1,2)</f>
        <v>Loading...</v>
      </c>
      <c r="N53" s="118"/>
      <c r="O53" s="120"/>
      <c r="P53" s="40"/>
    </row>
    <row r="54" ht="15.75" customHeight="1">
      <c r="A54" s="40"/>
      <c r="B54" s="132" t="s">
        <v>68</v>
      </c>
      <c r="C54" s="122"/>
      <c r="D54" s="84"/>
      <c r="E54" s="123"/>
      <c r="F54" s="86"/>
      <c r="G54" s="84"/>
      <c r="H54" s="124"/>
      <c r="I54" s="110"/>
      <c r="J54" s="1"/>
      <c r="K54" s="1"/>
      <c r="L54" s="1"/>
      <c r="M54" s="1"/>
      <c r="N54" s="1"/>
      <c r="O54" s="1"/>
      <c r="P54" s="40"/>
    </row>
    <row r="55" ht="15.75" customHeight="1">
      <c r="A55" s="73"/>
      <c r="B55" s="132" t="s">
        <v>69</v>
      </c>
      <c r="C55" s="122"/>
      <c r="D55" s="84"/>
      <c r="E55" s="123"/>
      <c r="F55" s="86"/>
      <c r="G55" s="84"/>
      <c r="H55" s="124"/>
      <c r="I55" s="59"/>
      <c r="K55" s="60"/>
      <c r="L55" s="60"/>
      <c r="M55" s="60"/>
      <c r="N55" s="60"/>
      <c r="O55" s="60"/>
      <c r="P55" s="40"/>
    </row>
    <row r="56" ht="15.75" customHeight="1">
      <c r="A56" s="73"/>
      <c r="B56" s="121" t="s">
        <v>70</v>
      </c>
      <c r="C56" s="122"/>
      <c r="D56" s="84"/>
      <c r="E56" s="123"/>
      <c r="F56" s="86"/>
      <c r="G56" s="84"/>
      <c r="H56" s="124"/>
      <c r="I56" s="59"/>
      <c r="K56" s="60"/>
      <c r="L56" s="60"/>
      <c r="M56" s="60"/>
      <c r="N56" s="60"/>
      <c r="O56" s="60"/>
      <c r="P56" s="40"/>
    </row>
    <row r="57" ht="15.75" customHeight="1">
      <c r="A57" s="73"/>
      <c r="B57" s="125" t="s">
        <v>71</v>
      </c>
      <c r="C57" s="126"/>
      <c r="D57" s="127"/>
      <c r="E57" s="128"/>
      <c r="F57" s="129"/>
      <c r="G57" s="127"/>
      <c r="H57" s="130"/>
      <c r="I57" s="59"/>
      <c r="J57" s="59"/>
      <c r="K57" s="60"/>
      <c r="L57" s="60"/>
      <c r="M57" s="60"/>
      <c r="N57" s="60"/>
      <c r="O57" s="60"/>
      <c r="P57" s="40"/>
    </row>
    <row r="58" ht="15.75" customHeight="1">
      <c r="A58" s="40"/>
      <c r="B58" s="96"/>
      <c r="C58" s="96"/>
      <c r="D58" s="96"/>
      <c r="E58" s="96"/>
      <c r="F58" s="96"/>
      <c r="G58" s="96"/>
      <c r="H58" s="96"/>
      <c r="I58" s="97"/>
      <c r="J58" s="97"/>
      <c r="K58" s="97"/>
      <c r="L58" s="131"/>
      <c r="M58" s="97"/>
      <c r="N58" s="97"/>
      <c r="O58" s="97"/>
      <c r="P58" s="40"/>
    </row>
    <row r="59" ht="15.75" customHeight="1">
      <c r="A59" s="40"/>
      <c r="B59" s="96"/>
      <c r="C59" s="96"/>
      <c r="D59" s="96"/>
      <c r="E59" s="96"/>
      <c r="F59" s="96"/>
      <c r="G59" s="96"/>
      <c r="H59" s="96"/>
      <c r="I59" s="97"/>
      <c r="J59" s="97"/>
      <c r="K59" s="97"/>
      <c r="L59" s="131"/>
      <c r="M59" s="97"/>
      <c r="N59" s="97"/>
      <c r="O59" s="97"/>
      <c r="P59" s="40"/>
    </row>
  </sheetData>
  <mergeCells count="71">
    <mergeCell ref="B40:J40"/>
    <mergeCell ref="B41:J41"/>
    <mergeCell ref="B42:J42"/>
    <mergeCell ref="B43:J43"/>
    <mergeCell ref="B44:J44"/>
    <mergeCell ref="B45:J45"/>
    <mergeCell ref="B46:J46"/>
    <mergeCell ref="J52:K52"/>
    <mergeCell ref="M52:O52"/>
    <mergeCell ref="M53:O53"/>
    <mergeCell ref="I55:J55"/>
    <mergeCell ref="I56:J56"/>
    <mergeCell ref="B47:J47"/>
    <mergeCell ref="B48:J48"/>
    <mergeCell ref="B49:J49"/>
    <mergeCell ref="J51:K51"/>
    <mergeCell ref="B52:B53"/>
    <mergeCell ref="C52:E52"/>
    <mergeCell ref="F52:H52"/>
    <mergeCell ref="J53:K53"/>
    <mergeCell ref="C1:H1"/>
    <mergeCell ref="I1:O1"/>
    <mergeCell ref="C2:E2"/>
    <mergeCell ref="F2:H2"/>
    <mergeCell ref="I2:J2"/>
    <mergeCell ref="K2:O2"/>
    <mergeCell ref="C3:E3"/>
    <mergeCell ref="K3:O3"/>
    <mergeCell ref="F3:H3"/>
    <mergeCell ref="I3:J3"/>
    <mergeCell ref="C4:E4"/>
    <mergeCell ref="F4:H4"/>
    <mergeCell ref="I4:J4"/>
    <mergeCell ref="K4:O4"/>
    <mergeCell ref="C5:E6"/>
    <mergeCell ref="K5:O6"/>
    <mergeCell ref="F5:H6"/>
    <mergeCell ref="I5:J6"/>
    <mergeCell ref="B7:J7"/>
    <mergeCell ref="B8:J8"/>
    <mergeCell ref="B9:J9"/>
    <mergeCell ref="B10:J10"/>
    <mergeCell ref="B11:J11"/>
    <mergeCell ref="B12:J12"/>
    <mergeCell ref="B13:J13"/>
    <mergeCell ref="B14:J14"/>
    <mergeCell ref="B15:J15"/>
    <mergeCell ref="B16:J16"/>
    <mergeCell ref="B17:J17"/>
    <mergeCell ref="B18:J18"/>
    <mergeCell ref="B19:J19"/>
    <mergeCell ref="B20:J20"/>
    <mergeCell ref="B21:J21"/>
    <mergeCell ref="B22:J22"/>
    <mergeCell ref="B23:J23"/>
    <mergeCell ref="B24:J24"/>
    <mergeCell ref="B25:J25"/>
    <mergeCell ref="B26:J26"/>
    <mergeCell ref="B27:J27"/>
    <mergeCell ref="B28:J28"/>
    <mergeCell ref="B29:J29"/>
    <mergeCell ref="B30:J30"/>
    <mergeCell ref="B31:J31"/>
    <mergeCell ref="B32:J32"/>
    <mergeCell ref="B33:J33"/>
    <mergeCell ref="B34:J34"/>
    <mergeCell ref="B35:J35"/>
    <mergeCell ref="B36:J36"/>
    <mergeCell ref="B37:J37"/>
    <mergeCell ref="B38:J38"/>
    <mergeCell ref="B39:J39"/>
  </mergeCells>
  <dataValidations>
    <dataValidation type="custom" allowBlank="1" showDropDown="1" showInputMessage="1" showErrorMessage="1" prompt="Enter a number" sqref="K8:K48 O8:O49">
      <formula1>ISNUMBER(K8)</formula1>
    </dataValidation>
    <dataValidation type="list" allowBlank="1" showInputMessage="1" showErrorMessage="1" prompt="Click and enter a valid scale from the list of items. The valid scales are Letter, 0-100, 0-4, and None" sqref="B3">
      <formula1>"Letter,0-4,0-100,None"</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8.88"/>
    <col customWidth="1" min="3" max="8" width="6.38"/>
    <col customWidth="1" hidden="1" min="9" max="9" width="18.88"/>
    <col customWidth="1" min="10" max="10" width="18.88"/>
    <col customWidth="1" min="11" max="11" width="6.38"/>
    <col customWidth="1" hidden="1" min="12" max="12" width="18.88"/>
    <col customWidth="1" min="13" max="13" width="6.38"/>
    <col customWidth="1" hidden="1" min="14" max="14" width="6.38"/>
    <col customWidth="1" min="15" max="15" width="6.38"/>
  </cols>
  <sheetData>
    <row r="1" ht="31.5" customHeight="1">
      <c r="A1" s="58"/>
      <c r="B1" s="1"/>
      <c r="C1" s="71" t="s">
        <v>5</v>
      </c>
      <c r="I1" s="58" t="s">
        <v>6</v>
      </c>
      <c r="P1" s="72"/>
    </row>
    <row r="2" ht="15.75" customHeight="1">
      <c r="A2" s="73"/>
      <c r="B2" s="74" t="s">
        <v>50</v>
      </c>
      <c r="C2" s="59" t="s">
        <v>8</v>
      </c>
      <c r="F2" s="60" t="str">
        <f>'Getting Started'!$G$10</f>
        <v/>
      </c>
      <c r="I2" s="59" t="s">
        <v>9</v>
      </c>
      <c r="K2" s="60" t="str">
        <f>'Getting Started'!$I$10</f>
        <v/>
      </c>
      <c r="P2" s="40"/>
    </row>
    <row r="3" ht="15.75" customHeight="1">
      <c r="A3" s="73"/>
      <c r="B3" s="75" t="s">
        <v>51</v>
      </c>
      <c r="C3" s="59" t="s">
        <v>11</v>
      </c>
      <c r="F3" s="61" t="str">
        <f>'Getting Started'!$G$11</f>
        <v/>
      </c>
      <c r="I3" s="59" t="s">
        <v>12</v>
      </c>
      <c r="K3" s="60" t="str">
        <f>'Getting Started'!$I$11</f>
        <v/>
      </c>
      <c r="P3" s="40"/>
    </row>
    <row r="4" ht="31.5" customHeight="1">
      <c r="A4" s="73"/>
      <c r="B4" s="1"/>
      <c r="C4" s="59" t="s">
        <v>13</v>
      </c>
      <c r="F4" s="60" t="str">
        <f>'Getting Started'!$G$12</f>
        <v/>
      </c>
      <c r="I4" s="59" t="s">
        <v>14</v>
      </c>
      <c r="K4" s="60" t="str">
        <f>'Getting Started'!$I$12</f>
        <v/>
      </c>
      <c r="P4" s="40"/>
    </row>
    <row r="5" ht="15.75" customHeight="1">
      <c r="A5" s="73"/>
      <c r="B5" s="1"/>
      <c r="C5" s="59" t="s">
        <v>15</v>
      </c>
      <c r="F5" s="62" t="str">
        <f>'Getting Started'!$G$14</f>
        <v/>
      </c>
      <c r="I5" s="59" t="s">
        <v>16</v>
      </c>
      <c r="K5" s="60" t="str">
        <f>'Getting Started'!$I$14</f>
        <v/>
      </c>
      <c r="P5" s="40"/>
    </row>
    <row r="6" ht="15.75" customHeight="1">
      <c r="A6" s="73"/>
      <c r="B6" s="19" t="s">
        <v>74</v>
      </c>
      <c r="P6" s="40"/>
    </row>
    <row r="7" ht="31.5" customHeight="1">
      <c r="A7" s="40"/>
      <c r="B7" s="76" t="s">
        <v>53</v>
      </c>
      <c r="C7" s="8"/>
      <c r="D7" s="8"/>
      <c r="E7" s="8"/>
      <c r="F7" s="8"/>
      <c r="G7" s="8"/>
      <c r="H7" s="8"/>
      <c r="I7" s="8"/>
      <c r="J7" s="77"/>
      <c r="K7" s="78" t="s">
        <v>54</v>
      </c>
      <c r="L7" s="79" t="s">
        <v>55</v>
      </c>
      <c r="M7" s="80" t="s">
        <v>56</v>
      </c>
      <c r="N7" s="81"/>
      <c r="O7" s="82" t="s">
        <v>57</v>
      </c>
      <c r="P7" s="1"/>
    </row>
    <row r="8" ht="15.75" customHeight="1">
      <c r="A8" s="40"/>
      <c r="B8" s="83"/>
      <c r="J8" s="47"/>
      <c r="K8" s="84"/>
      <c r="L8" s="85"/>
      <c r="M8" s="86"/>
      <c r="N8" s="87"/>
      <c r="O8" s="88"/>
      <c r="P8" s="1"/>
    </row>
    <row r="9" ht="15.75" customHeight="1">
      <c r="A9" s="40"/>
      <c r="B9" s="141"/>
      <c r="J9" s="47"/>
      <c r="K9" s="84"/>
      <c r="L9" s="85" t="b">
        <v>0</v>
      </c>
      <c r="M9" s="86"/>
      <c r="N9" s="142"/>
      <c r="O9" s="88"/>
      <c r="P9" s="40"/>
    </row>
    <row r="10" ht="15.75" customHeight="1">
      <c r="A10" s="40"/>
      <c r="B10" s="141"/>
      <c r="J10" s="47"/>
      <c r="K10" s="84"/>
      <c r="L10" s="143" t="b">
        <v>0</v>
      </c>
      <c r="M10" s="86"/>
      <c r="N10" s="142"/>
      <c r="O10" s="144"/>
      <c r="P10" s="40"/>
    </row>
    <row r="11" ht="15.75" customHeight="1">
      <c r="A11" s="40"/>
      <c r="B11" s="141"/>
      <c r="J11" s="47"/>
      <c r="K11" s="145"/>
      <c r="L11" s="143" t="b">
        <v>0</v>
      </c>
      <c r="M11" s="146"/>
      <c r="N11" s="142"/>
      <c r="O11" s="144"/>
      <c r="P11" s="40"/>
    </row>
    <row r="12" ht="15.75" customHeight="1">
      <c r="A12" s="40"/>
      <c r="B12" s="141"/>
      <c r="J12" s="47"/>
      <c r="K12" s="145"/>
      <c r="L12" s="85" t="b">
        <v>0</v>
      </c>
      <c r="M12" s="146"/>
      <c r="N12" s="142"/>
      <c r="O12" s="144"/>
      <c r="P12" s="40"/>
    </row>
    <row r="13" ht="15.75" customHeight="1">
      <c r="A13" s="40"/>
      <c r="B13" s="141"/>
      <c r="J13" s="47"/>
      <c r="K13" s="145"/>
      <c r="L13" s="85" t="b">
        <v>0</v>
      </c>
      <c r="M13" s="146"/>
      <c r="N13" s="142"/>
      <c r="O13" s="144"/>
      <c r="P13" s="40"/>
    </row>
    <row r="14" ht="15.75" customHeight="1">
      <c r="A14" s="40"/>
      <c r="B14" s="141"/>
      <c r="J14" s="47"/>
      <c r="K14" s="145"/>
      <c r="L14" s="85" t="b">
        <v>0</v>
      </c>
      <c r="M14" s="146"/>
      <c r="N14" s="142"/>
      <c r="O14" s="144"/>
      <c r="P14" s="40"/>
    </row>
    <row r="15" ht="15.75" customHeight="1">
      <c r="A15" s="40"/>
      <c r="B15" s="141"/>
      <c r="J15" s="47"/>
      <c r="K15" s="145"/>
      <c r="L15" s="143" t="b">
        <v>0</v>
      </c>
      <c r="M15" s="146"/>
      <c r="N15" s="142"/>
      <c r="O15" s="144"/>
      <c r="P15" s="40"/>
    </row>
    <row r="16" ht="15.75" customHeight="1">
      <c r="A16" s="40"/>
      <c r="B16" s="141"/>
      <c r="J16" s="47"/>
      <c r="K16" s="145"/>
      <c r="L16" s="143" t="b">
        <v>0</v>
      </c>
      <c r="M16" s="146"/>
      <c r="N16" s="142"/>
      <c r="O16" s="144"/>
      <c r="P16" s="40"/>
    </row>
    <row r="17" ht="15.75" customHeight="1">
      <c r="A17" s="40"/>
      <c r="B17" s="141"/>
      <c r="J17" s="47"/>
      <c r="K17" s="145"/>
      <c r="L17" s="143" t="b">
        <v>0</v>
      </c>
      <c r="M17" s="146"/>
      <c r="N17" s="142"/>
      <c r="O17" s="144"/>
      <c r="P17" s="40"/>
    </row>
    <row r="18" ht="15.75" customHeight="1">
      <c r="A18" s="40"/>
      <c r="B18" s="141"/>
      <c r="J18" s="47"/>
      <c r="K18" s="145"/>
      <c r="L18" s="143" t="b">
        <v>0</v>
      </c>
      <c r="M18" s="146"/>
      <c r="N18" s="142"/>
      <c r="O18" s="144"/>
      <c r="P18" s="40"/>
    </row>
    <row r="19" ht="15.75" customHeight="1">
      <c r="A19" s="40"/>
      <c r="B19" s="141"/>
      <c r="J19" s="47"/>
      <c r="K19" s="145"/>
      <c r="L19" s="143" t="b">
        <v>0</v>
      </c>
      <c r="M19" s="146"/>
      <c r="N19" s="142"/>
      <c r="O19" s="144"/>
      <c r="P19" s="40"/>
    </row>
    <row r="20" ht="15.75" customHeight="1">
      <c r="A20" s="40"/>
      <c r="B20" s="141"/>
      <c r="J20" s="47"/>
      <c r="K20" s="145"/>
      <c r="L20" s="143" t="b">
        <v>0</v>
      </c>
      <c r="M20" s="146"/>
      <c r="N20" s="142"/>
      <c r="O20" s="144"/>
      <c r="P20" s="40"/>
    </row>
    <row r="21" ht="15.75" customHeight="1">
      <c r="A21" s="40"/>
      <c r="B21" s="141"/>
      <c r="J21" s="47"/>
      <c r="K21" s="145"/>
      <c r="L21" s="143" t="b">
        <v>0</v>
      </c>
      <c r="M21" s="146"/>
      <c r="N21" s="142"/>
      <c r="O21" s="144"/>
      <c r="P21" s="40"/>
    </row>
    <row r="22" ht="15.75" customHeight="1">
      <c r="A22" s="40"/>
      <c r="B22" s="141"/>
      <c r="J22" s="47"/>
      <c r="K22" s="145"/>
      <c r="L22" s="143" t="b">
        <v>0</v>
      </c>
      <c r="M22" s="146"/>
      <c r="N22" s="142"/>
      <c r="O22" s="144"/>
      <c r="P22" s="40"/>
    </row>
    <row r="23" ht="15.75" customHeight="1">
      <c r="A23" s="40"/>
      <c r="B23" s="141"/>
      <c r="J23" s="47"/>
      <c r="K23" s="145"/>
      <c r="L23" s="143" t="b">
        <v>0</v>
      </c>
      <c r="M23" s="146"/>
      <c r="N23" s="142"/>
      <c r="O23" s="144"/>
      <c r="P23" s="40"/>
    </row>
    <row r="24" ht="15.75" customHeight="1">
      <c r="A24" s="40"/>
      <c r="B24" s="141"/>
      <c r="J24" s="47"/>
      <c r="K24" s="145"/>
      <c r="L24" s="143" t="b">
        <v>0</v>
      </c>
      <c r="M24" s="146"/>
      <c r="N24" s="142"/>
      <c r="O24" s="144"/>
      <c r="P24" s="40"/>
    </row>
    <row r="25" ht="15.75" customHeight="1">
      <c r="A25" s="40"/>
      <c r="B25" s="89"/>
      <c r="C25" s="16"/>
      <c r="D25" s="16"/>
      <c r="E25" s="16"/>
      <c r="F25" s="16"/>
      <c r="G25" s="16"/>
      <c r="H25" s="16"/>
      <c r="I25" s="16"/>
      <c r="J25" s="90"/>
      <c r="K25" s="91"/>
      <c r="L25" s="92" t="b">
        <v>0</v>
      </c>
      <c r="M25" s="93"/>
      <c r="N25" s="94"/>
      <c r="O25" s="95"/>
      <c r="P25" s="40"/>
    </row>
    <row r="26" ht="15.75" customHeight="1">
      <c r="A26" s="40"/>
      <c r="B26" s="96"/>
      <c r="C26" s="1"/>
      <c r="D26" s="1"/>
      <c r="E26" s="1"/>
      <c r="F26" s="1"/>
      <c r="G26" s="1"/>
      <c r="H26" s="1"/>
      <c r="I26" s="1"/>
      <c r="J26" s="101" t="s">
        <v>75</v>
      </c>
      <c r="K26" s="102"/>
      <c r="L26" s="1"/>
      <c r="M26" s="1"/>
      <c r="N26" s="97"/>
      <c r="O26" s="97"/>
      <c r="P26" s="40"/>
    </row>
    <row r="27" ht="15.75" customHeight="1">
      <c r="A27" s="40"/>
      <c r="B27" s="96"/>
      <c r="C27" s="100"/>
      <c r="D27" s="100"/>
      <c r="E27" s="100"/>
      <c r="F27" s="100"/>
      <c r="G27" s="100"/>
      <c r="H27" s="100"/>
      <c r="I27" s="100"/>
      <c r="J27" s="108" t="s">
        <v>63</v>
      </c>
      <c r="K27" s="109"/>
      <c r="L27" s="110"/>
      <c r="M27" s="111" t="s">
        <v>64</v>
      </c>
      <c r="N27" s="109"/>
      <c r="O27" s="102"/>
      <c r="P27" s="40"/>
    </row>
    <row r="28" ht="15.75" customHeight="1">
      <c r="A28" s="40"/>
      <c r="B28" s="19" t="s">
        <v>76</v>
      </c>
      <c r="C28" s="100"/>
      <c r="D28" s="100"/>
      <c r="E28" s="100"/>
      <c r="F28" s="100"/>
      <c r="G28" s="100"/>
      <c r="H28" s="100"/>
      <c r="I28" s="100"/>
      <c r="J28" s="117" t="str">
        <f t="array" ref="J28">GPA({K8:K25,M8:M25,O8:O25},1,2)</f>
        <v>Loading...</v>
      </c>
      <c r="K28" s="118"/>
      <c r="L28" s="110"/>
      <c r="M28" s="119" t="str">
        <f t="array" ref="M28">CREDITSSUM({K8:K25,M8:M25},1,2)</f>
        <v>Loading...</v>
      </c>
      <c r="N28" s="118"/>
      <c r="O28" s="120"/>
      <c r="P28" s="40"/>
    </row>
    <row r="29" ht="31.5" customHeight="1">
      <c r="A29" s="40"/>
      <c r="B29" s="76" t="s">
        <v>53</v>
      </c>
      <c r="C29" s="8"/>
      <c r="D29" s="8"/>
      <c r="E29" s="8"/>
      <c r="F29" s="8"/>
      <c r="G29" s="8"/>
      <c r="H29" s="8"/>
      <c r="I29" s="8"/>
      <c r="J29" s="77"/>
      <c r="K29" s="78" t="s">
        <v>54</v>
      </c>
      <c r="L29" s="79" t="s">
        <v>55</v>
      </c>
      <c r="M29" s="80" t="s">
        <v>56</v>
      </c>
      <c r="N29" s="81"/>
      <c r="O29" s="82" t="s">
        <v>57</v>
      </c>
      <c r="P29" s="1"/>
    </row>
    <row r="30" ht="15.75" customHeight="1">
      <c r="A30" s="40"/>
      <c r="B30" s="83"/>
      <c r="J30" s="47"/>
      <c r="K30" s="84"/>
      <c r="L30" s="85"/>
      <c r="M30" s="86"/>
      <c r="N30" s="87"/>
      <c r="O30" s="88"/>
      <c r="P30" s="1"/>
    </row>
    <row r="31" ht="15.75" customHeight="1">
      <c r="A31" s="40"/>
      <c r="B31" s="141"/>
      <c r="J31" s="47"/>
      <c r="K31" s="84"/>
      <c r="L31" s="85" t="b">
        <v>0</v>
      </c>
      <c r="M31" s="86"/>
      <c r="N31" s="142"/>
      <c r="O31" s="88"/>
      <c r="P31" s="40"/>
    </row>
    <row r="32" ht="15.75" customHeight="1">
      <c r="A32" s="40"/>
      <c r="B32" s="141"/>
      <c r="J32" s="47"/>
      <c r="K32" s="84"/>
      <c r="L32" s="143" t="b">
        <v>0</v>
      </c>
      <c r="M32" s="86"/>
      <c r="N32" s="142"/>
      <c r="O32" s="144"/>
      <c r="P32" s="40"/>
    </row>
    <row r="33" ht="15.75" customHeight="1">
      <c r="A33" s="40"/>
      <c r="B33" s="141"/>
      <c r="J33" s="47"/>
      <c r="K33" s="145"/>
      <c r="L33" s="143" t="b">
        <v>0</v>
      </c>
      <c r="M33" s="146"/>
      <c r="N33" s="142"/>
      <c r="O33" s="144"/>
      <c r="P33" s="40"/>
    </row>
    <row r="34" ht="15.75" customHeight="1">
      <c r="A34" s="40"/>
      <c r="B34" s="141"/>
      <c r="J34" s="47"/>
      <c r="K34" s="145"/>
      <c r="L34" s="85" t="b">
        <v>0</v>
      </c>
      <c r="M34" s="146"/>
      <c r="N34" s="142"/>
      <c r="O34" s="144"/>
      <c r="P34" s="40"/>
    </row>
    <row r="35" ht="15.75" customHeight="1">
      <c r="A35" s="40"/>
      <c r="B35" s="141"/>
      <c r="J35" s="47"/>
      <c r="K35" s="145"/>
      <c r="L35" s="85" t="b">
        <v>0</v>
      </c>
      <c r="M35" s="146"/>
      <c r="N35" s="142"/>
      <c r="O35" s="144"/>
      <c r="P35" s="40"/>
    </row>
    <row r="36" ht="15.75" customHeight="1">
      <c r="A36" s="40"/>
      <c r="B36" s="141"/>
      <c r="J36" s="47"/>
      <c r="K36" s="145"/>
      <c r="L36" s="85" t="b">
        <v>0</v>
      </c>
      <c r="M36" s="146"/>
      <c r="N36" s="142"/>
      <c r="O36" s="144"/>
      <c r="P36" s="40"/>
    </row>
    <row r="37" ht="15.75" customHeight="1">
      <c r="A37" s="40"/>
      <c r="B37" s="141"/>
      <c r="J37" s="47"/>
      <c r="K37" s="146"/>
      <c r="L37" s="85" t="b">
        <v>0</v>
      </c>
      <c r="M37" s="146"/>
      <c r="N37" s="142"/>
      <c r="O37" s="144"/>
      <c r="P37" s="40"/>
    </row>
    <row r="38" ht="15.75" customHeight="1">
      <c r="A38" s="40"/>
      <c r="B38" s="141"/>
      <c r="J38" s="47"/>
      <c r="K38" s="145"/>
      <c r="L38" s="143" t="b">
        <v>0</v>
      </c>
      <c r="M38" s="146"/>
      <c r="N38" s="142"/>
      <c r="O38" s="144"/>
      <c r="P38" s="40"/>
    </row>
    <row r="39" ht="15.75" customHeight="1">
      <c r="A39" s="40"/>
      <c r="B39" s="141"/>
      <c r="J39" s="47"/>
      <c r="K39" s="145"/>
      <c r="L39" s="143" t="b">
        <v>0</v>
      </c>
      <c r="M39" s="146"/>
      <c r="N39" s="142"/>
      <c r="O39" s="144"/>
      <c r="P39" s="40"/>
    </row>
    <row r="40" ht="15.75" customHeight="1">
      <c r="A40" s="40"/>
      <c r="B40" s="141"/>
      <c r="J40" s="47"/>
      <c r="K40" s="145"/>
      <c r="L40" s="143" t="b">
        <v>0</v>
      </c>
      <c r="M40" s="146"/>
      <c r="N40" s="142"/>
      <c r="O40" s="144"/>
      <c r="P40" s="40"/>
    </row>
    <row r="41" ht="15.75" customHeight="1">
      <c r="A41" s="40"/>
      <c r="B41" s="141"/>
      <c r="J41" s="47"/>
      <c r="K41" s="145"/>
      <c r="L41" s="143" t="b">
        <v>0</v>
      </c>
      <c r="M41" s="146"/>
      <c r="N41" s="142"/>
      <c r="O41" s="144"/>
      <c r="P41" s="40"/>
    </row>
    <row r="42" ht="15.75" customHeight="1">
      <c r="A42" s="40"/>
      <c r="B42" s="141"/>
      <c r="J42" s="47"/>
      <c r="K42" s="145"/>
      <c r="L42" s="143" t="b">
        <v>0</v>
      </c>
      <c r="M42" s="146"/>
      <c r="N42" s="142"/>
      <c r="O42" s="144"/>
      <c r="P42" s="40"/>
    </row>
    <row r="43" ht="15.75" customHeight="1">
      <c r="A43" s="40"/>
      <c r="B43" s="141"/>
      <c r="J43" s="47"/>
      <c r="K43" s="145"/>
      <c r="L43" s="143" t="b">
        <v>0</v>
      </c>
      <c r="M43" s="146"/>
      <c r="N43" s="142"/>
      <c r="O43" s="144"/>
      <c r="P43" s="40"/>
    </row>
    <row r="44" ht="15.75" customHeight="1">
      <c r="A44" s="40"/>
      <c r="B44" s="141"/>
      <c r="J44" s="47"/>
      <c r="K44" s="145"/>
      <c r="L44" s="143" t="b">
        <v>0</v>
      </c>
      <c r="M44" s="146"/>
      <c r="N44" s="142"/>
      <c r="O44" s="144"/>
      <c r="P44" s="40"/>
    </row>
    <row r="45" ht="15.75" customHeight="1">
      <c r="A45" s="40"/>
      <c r="B45" s="141"/>
      <c r="J45" s="47"/>
      <c r="K45" s="145"/>
      <c r="L45" s="143" t="b">
        <v>0</v>
      </c>
      <c r="M45" s="146"/>
      <c r="N45" s="142"/>
      <c r="O45" s="144"/>
      <c r="P45" s="40"/>
    </row>
    <row r="46" ht="15.75" customHeight="1">
      <c r="A46" s="40"/>
      <c r="B46" s="141"/>
      <c r="J46" s="47"/>
      <c r="K46" s="145"/>
      <c r="L46" s="143" t="b">
        <v>0</v>
      </c>
      <c r="M46" s="146"/>
      <c r="N46" s="142"/>
      <c r="O46" s="144"/>
      <c r="P46" s="40"/>
    </row>
    <row r="47" ht="15.75" customHeight="1">
      <c r="A47" s="40"/>
      <c r="B47" s="89"/>
      <c r="C47" s="16"/>
      <c r="D47" s="16"/>
      <c r="E47" s="16"/>
      <c r="F47" s="16"/>
      <c r="G47" s="16"/>
      <c r="H47" s="16"/>
      <c r="I47" s="16"/>
      <c r="J47" s="90"/>
      <c r="K47" s="91"/>
      <c r="L47" s="92" t="b">
        <v>0</v>
      </c>
      <c r="M47" s="93"/>
      <c r="N47" s="94"/>
      <c r="O47" s="95"/>
      <c r="P47" s="40"/>
    </row>
    <row r="48" ht="15.75" customHeight="1">
      <c r="A48" s="40"/>
      <c r="B48" s="96"/>
      <c r="C48" s="1"/>
      <c r="D48" s="1"/>
      <c r="E48" s="1"/>
      <c r="F48" s="1"/>
      <c r="G48" s="1"/>
      <c r="H48" s="1"/>
      <c r="I48" s="1"/>
      <c r="J48" s="101" t="s">
        <v>77</v>
      </c>
      <c r="K48" s="102"/>
      <c r="L48" s="1"/>
      <c r="M48" s="1"/>
      <c r="N48" s="97"/>
      <c r="O48" s="97"/>
      <c r="P48" s="40"/>
    </row>
    <row r="49" ht="15.75" customHeight="1">
      <c r="A49" s="40"/>
      <c r="B49" s="1"/>
      <c r="C49" s="1"/>
      <c r="D49" s="1"/>
      <c r="E49" s="1"/>
      <c r="F49" s="1"/>
      <c r="G49" s="1"/>
      <c r="H49" s="1"/>
      <c r="I49" s="100"/>
      <c r="J49" s="108" t="s">
        <v>63</v>
      </c>
      <c r="K49" s="109"/>
      <c r="L49" s="110"/>
      <c r="M49" s="111" t="s">
        <v>64</v>
      </c>
      <c r="N49" s="109"/>
      <c r="O49" s="102"/>
      <c r="P49" s="40"/>
    </row>
    <row r="50" ht="15.75" customHeight="1">
      <c r="A50" s="40"/>
      <c r="B50" s="98" t="s">
        <v>58</v>
      </c>
      <c r="C50" s="99"/>
      <c r="D50" s="99"/>
      <c r="E50" s="99"/>
      <c r="F50" s="99"/>
      <c r="G50" s="99"/>
      <c r="H50" s="99"/>
      <c r="I50" s="100"/>
      <c r="J50" s="117" t="str">
        <f t="array" ref="J50">GPA({K30:K47,M30:M47,O30:O47},1,2)</f>
        <v>Loading...</v>
      </c>
      <c r="K50" s="118"/>
      <c r="L50" s="110"/>
      <c r="M50" s="119" t="str">
        <f t="array" ref="M50">CREDITSSUM({K30:K47,M30:M47},1,2)</f>
        <v>Loading...</v>
      </c>
      <c r="N50" s="118"/>
      <c r="O50" s="120"/>
      <c r="P50" s="40"/>
    </row>
    <row r="51" ht="15.75" customHeight="1">
      <c r="A51" s="40"/>
      <c r="B51" s="103" t="s">
        <v>60</v>
      </c>
      <c r="C51" s="104" t="s">
        <v>61</v>
      </c>
      <c r="D51" s="105"/>
      <c r="E51" s="106"/>
      <c r="F51" s="104" t="s">
        <v>62</v>
      </c>
      <c r="G51" s="105"/>
      <c r="H51" s="107"/>
      <c r="I51" s="110"/>
      <c r="J51" s="1"/>
      <c r="K51" s="1"/>
      <c r="L51" s="1"/>
      <c r="M51" s="1"/>
      <c r="N51" s="1"/>
      <c r="O51" s="1"/>
      <c r="P51" s="40"/>
    </row>
    <row r="52" ht="15.75" customHeight="1">
      <c r="A52" s="40"/>
      <c r="B52" s="112"/>
      <c r="C52" s="113" t="s">
        <v>65</v>
      </c>
      <c r="D52" s="114" t="s">
        <v>66</v>
      </c>
      <c r="E52" s="115" t="s">
        <v>67</v>
      </c>
      <c r="F52" s="113" t="s">
        <v>65</v>
      </c>
      <c r="G52" s="114" t="s">
        <v>66</v>
      </c>
      <c r="H52" s="116" t="s">
        <v>67</v>
      </c>
      <c r="I52" s="110"/>
      <c r="J52" s="1"/>
      <c r="K52" s="1"/>
      <c r="L52" s="1"/>
      <c r="M52" s="1"/>
      <c r="N52" s="1"/>
      <c r="O52" s="1"/>
      <c r="P52" s="40"/>
    </row>
    <row r="53" ht="15.75" customHeight="1">
      <c r="A53" s="40"/>
      <c r="B53" s="132" t="s">
        <v>68</v>
      </c>
      <c r="C53" s="122"/>
      <c r="D53" s="84"/>
      <c r="E53" s="123"/>
      <c r="F53" s="86"/>
      <c r="G53" s="84"/>
      <c r="H53" s="124"/>
      <c r="I53" s="110"/>
      <c r="J53" s="101" t="s">
        <v>59</v>
      </c>
      <c r="K53" s="102"/>
      <c r="L53" s="1"/>
      <c r="M53" s="1"/>
      <c r="N53" s="97"/>
      <c r="O53" s="97"/>
      <c r="P53" s="40"/>
    </row>
    <row r="54" ht="15.75" customHeight="1">
      <c r="A54" s="40"/>
      <c r="B54" s="132" t="s">
        <v>69</v>
      </c>
      <c r="C54" s="122"/>
      <c r="D54" s="84"/>
      <c r="E54" s="123"/>
      <c r="F54" s="86"/>
      <c r="G54" s="84"/>
      <c r="H54" s="124"/>
      <c r="I54" s="110"/>
      <c r="J54" s="108" t="s">
        <v>63</v>
      </c>
      <c r="K54" s="109"/>
      <c r="L54" s="110"/>
      <c r="M54" s="111" t="s">
        <v>64</v>
      </c>
      <c r="N54" s="109"/>
      <c r="O54" s="102"/>
      <c r="P54" s="40"/>
    </row>
    <row r="55" ht="15.75" customHeight="1">
      <c r="A55" s="40"/>
      <c r="B55" s="121" t="s">
        <v>70</v>
      </c>
      <c r="C55" s="122"/>
      <c r="D55" s="84"/>
      <c r="E55" s="123"/>
      <c r="F55" s="86"/>
      <c r="G55" s="84"/>
      <c r="H55" s="124"/>
      <c r="I55" s="110"/>
      <c r="J55" s="117" t="str">
        <f t="array" ref="J55">GPA({K8:K25,M8:M25,O8:O25;K30:K47,M30:M47,O30:O47},1,2)</f>
        <v>Loading...</v>
      </c>
      <c r="K55" s="118"/>
      <c r="L55" s="110"/>
      <c r="M55" s="119" t="str">
        <f t="array" ref="M55">CREDITSSUM({K8:K25,M8:M25;K30:K47,M30:M47},1,2)</f>
        <v>Loading...</v>
      </c>
      <c r="N55" s="118"/>
      <c r="O55" s="120"/>
      <c r="P55" s="40"/>
    </row>
    <row r="56" ht="15.75" customHeight="1">
      <c r="A56" s="40"/>
      <c r="B56" s="125" t="s">
        <v>71</v>
      </c>
      <c r="C56" s="126"/>
      <c r="D56" s="127"/>
      <c r="E56" s="128"/>
      <c r="F56" s="129"/>
      <c r="G56" s="127"/>
      <c r="H56" s="130"/>
      <c r="I56" s="97"/>
      <c r="J56" s="97"/>
      <c r="K56" s="97"/>
      <c r="L56" s="131"/>
      <c r="M56" s="97"/>
      <c r="N56" s="97"/>
      <c r="O56" s="97"/>
      <c r="P56" s="40"/>
    </row>
    <row r="57" ht="15.75" customHeight="1">
      <c r="A57" s="40"/>
      <c r="B57" s="96"/>
      <c r="C57" s="97"/>
      <c r="D57" s="97"/>
      <c r="E57" s="97"/>
      <c r="F57" s="97"/>
      <c r="G57" s="97"/>
      <c r="H57" s="97"/>
      <c r="I57" s="97"/>
      <c r="J57" s="97"/>
      <c r="K57" s="97"/>
      <c r="L57" s="131"/>
      <c r="M57" s="97"/>
      <c r="N57" s="97"/>
      <c r="O57" s="97"/>
      <c r="P57" s="40"/>
    </row>
    <row r="58" ht="15.75" customHeight="1">
      <c r="A58" s="40"/>
      <c r="B58" s="96"/>
      <c r="C58" s="97"/>
      <c r="D58" s="97"/>
      <c r="E58" s="97"/>
      <c r="F58" s="97"/>
      <c r="G58" s="97"/>
      <c r="H58" s="97"/>
      <c r="I58" s="97"/>
      <c r="J58" s="97"/>
      <c r="K58" s="97"/>
      <c r="L58" s="131"/>
      <c r="M58" s="97"/>
      <c r="N58" s="97"/>
      <c r="O58" s="97"/>
      <c r="P58" s="40"/>
    </row>
  </sheetData>
  <mergeCells count="74">
    <mergeCell ref="B36:J36"/>
    <mergeCell ref="B37:J37"/>
    <mergeCell ref="B38:J38"/>
    <mergeCell ref="B39:J39"/>
    <mergeCell ref="B40:J40"/>
    <mergeCell ref="B41:J41"/>
    <mergeCell ref="B42:J42"/>
    <mergeCell ref="J49:K49"/>
    <mergeCell ref="J50:K50"/>
    <mergeCell ref="M50:O50"/>
    <mergeCell ref="B51:B52"/>
    <mergeCell ref="C51:E51"/>
    <mergeCell ref="F51:H51"/>
    <mergeCell ref="J53:K53"/>
    <mergeCell ref="J54:K54"/>
    <mergeCell ref="M54:O54"/>
    <mergeCell ref="J55:K55"/>
    <mergeCell ref="M55:O55"/>
    <mergeCell ref="B43:J43"/>
    <mergeCell ref="B44:J44"/>
    <mergeCell ref="B45:J45"/>
    <mergeCell ref="B46:J46"/>
    <mergeCell ref="B47:J47"/>
    <mergeCell ref="J48:K48"/>
    <mergeCell ref="M49:O49"/>
    <mergeCell ref="C1:H1"/>
    <mergeCell ref="I1:O1"/>
    <mergeCell ref="C2:E2"/>
    <mergeCell ref="F2:H2"/>
    <mergeCell ref="I2:J2"/>
    <mergeCell ref="K2:O2"/>
    <mergeCell ref="C3:E3"/>
    <mergeCell ref="K3:O3"/>
    <mergeCell ref="F3:H3"/>
    <mergeCell ref="I3:J3"/>
    <mergeCell ref="C4:E4"/>
    <mergeCell ref="F4:H4"/>
    <mergeCell ref="I4:J4"/>
    <mergeCell ref="K4:O4"/>
    <mergeCell ref="C5:E6"/>
    <mergeCell ref="K5:O6"/>
    <mergeCell ref="F5:H6"/>
    <mergeCell ref="I5:J6"/>
    <mergeCell ref="B7:J7"/>
    <mergeCell ref="B8:J8"/>
    <mergeCell ref="B9:J9"/>
    <mergeCell ref="B10:J10"/>
    <mergeCell ref="B11:J11"/>
    <mergeCell ref="B12:J12"/>
    <mergeCell ref="B13:J13"/>
    <mergeCell ref="B14:J14"/>
    <mergeCell ref="B15:J15"/>
    <mergeCell ref="B16:J16"/>
    <mergeCell ref="B17:J17"/>
    <mergeCell ref="B18:J18"/>
    <mergeCell ref="J26:K26"/>
    <mergeCell ref="J27:K27"/>
    <mergeCell ref="M27:O27"/>
    <mergeCell ref="J28:K28"/>
    <mergeCell ref="M28:O28"/>
    <mergeCell ref="B19:J19"/>
    <mergeCell ref="B20:J20"/>
    <mergeCell ref="B21:J21"/>
    <mergeCell ref="B22:J22"/>
    <mergeCell ref="B23:J23"/>
    <mergeCell ref="B24:J24"/>
    <mergeCell ref="B25:J25"/>
    <mergeCell ref="B29:J29"/>
    <mergeCell ref="B30:J30"/>
    <mergeCell ref="B31:J31"/>
    <mergeCell ref="B32:J32"/>
    <mergeCell ref="B33:J33"/>
    <mergeCell ref="B34:J34"/>
    <mergeCell ref="B35:J35"/>
  </mergeCells>
  <dataValidations>
    <dataValidation type="custom" allowBlank="1" showDropDown="1" showInputMessage="1" showErrorMessage="1" prompt="Enter a number" sqref="K8:K16 O8:O25 K30:K39 O30:O47">
      <formula1>ISNUMBER(K8)</formula1>
    </dataValidation>
    <dataValidation type="list" allowBlank="1" showInputMessage="1" showErrorMessage="1" prompt="Click and enter a valid scale from the list of items. The valid scales are Letter, 0-100, 0-4, and None" sqref="B3">
      <formula1>"Letter,0-4,0-100,None"</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8.88"/>
    <col customWidth="1" min="3" max="8" width="6.38"/>
    <col customWidth="1" hidden="1" min="9" max="9" width="18.88"/>
    <col customWidth="1" min="10" max="10" width="18.88"/>
    <col customWidth="1" min="11" max="11" width="6.38"/>
    <col customWidth="1" hidden="1" min="12" max="12" width="18.88"/>
    <col customWidth="1" min="13" max="13" width="6.38"/>
    <col customWidth="1" hidden="1" min="14" max="14" width="6.38"/>
    <col customWidth="1" min="15" max="15" width="6.38"/>
  </cols>
  <sheetData>
    <row r="1" ht="31.5" customHeight="1">
      <c r="A1" s="58"/>
      <c r="B1" s="1"/>
      <c r="C1" s="71" t="s">
        <v>5</v>
      </c>
      <c r="I1" s="58" t="s">
        <v>6</v>
      </c>
      <c r="P1" s="72"/>
    </row>
    <row r="2" ht="15.75" customHeight="1">
      <c r="A2" s="73"/>
      <c r="B2" s="74" t="s">
        <v>50</v>
      </c>
      <c r="C2" s="59" t="s">
        <v>8</v>
      </c>
      <c r="F2" s="60" t="str">
        <f>'Getting Started'!$G$10</f>
        <v/>
      </c>
      <c r="I2" s="59" t="s">
        <v>9</v>
      </c>
      <c r="K2" s="60" t="str">
        <f>'Getting Started'!$I$10</f>
        <v/>
      </c>
      <c r="P2" s="40"/>
    </row>
    <row r="3" ht="15.75" customHeight="1">
      <c r="A3" s="73"/>
      <c r="B3" s="75" t="s">
        <v>51</v>
      </c>
      <c r="C3" s="59" t="s">
        <v>11</v>
      </c>
      <c r="F3" s="61" t="str">
        <f>'Getting Started'!$G$11</f>
        <v/>
      </c>
      <c r="I3" s="59" t="s">
        <v>12</v>
      </c>
      <c r="K3" s="60" t="str">
        <f>'Getting Started'!$I$11</f>
        <v/>
      </c>
      <c r="P3" s="40"/>
    </row>
    <row r="4" ht="31.5" customHeight="1">
      <c r="A4" s="73"/>
      <c r="B4" s="1"/>
      <c r="C4" s="59" t="s">
        <v>13</v>
      </c>
      <c r="F4" s="60" t="str">
        <f>'Getting Started'!$G$12</f>
        <v/>
      </c>
      <c r="I4" s="59" t="s">
        <v>14</v>
      </c>
      <c r="K4" s="60" t="str">
        <f>'Getting Started'!$I$12</f>
        <v/>
      </c>
      <c r="P4" s="40"/>
    </row>
    <row r="5" ht="15.75" customHeight="1">
      <c r="A5" s="73"/>
      <c r="B5" s="1"/>
      <c r="C5" s="59" t="s">
        <v>15</v>
      </c>
      <c r="F5" s="62" t="str">
        <f>'Getting Started'!$G$14</f>
        <v/>
      </c>
      <c r="I5" s="59" t="s">
        <v>16</v>
      </c>
      <c r="K5" s="60" t="str">
        <f>'Getting Started'!$I$14</f>
        <v/>
      </c>
      <c r="P5" s="40"/>
    </row>
    <row r="6" ht="15.75" customHeight="1">
      <c r="A6" s="73"/>
      <c r="B6" s="19" t="s">
        <v>78</v>
      </c>
      <c r="P6" s="40"/>
    </row>
    <row r="7" ht="31.5" customHeight="1">
      <c r="A7" s="40"/>
      <c r="B7" s="76" t="s">
        <v>53</v>
      </c>
      <c r="C7" s="8"/>
      <c r="D7" s="8"/>
      <c r="E7" s="8"/>
      <c r="F7" s="8"/>
      <c r="G7" s="8"/>
      <c r="H7" s="8"/>
      <c r="I7" s="8"/>
      <c r="J7" s="77"/>
      <c r="K7" s="78" t="s">
        <v>54</v>
      </c>
      <c r="L7" s="79" t="s">
        <v>55</v>
      </c>
      <c r="M7" s="80" t="s">
        <v>56</v>
      </c>
      <c r="N7" s="81"/>
      <c r="O7" s="82" t="s">
        <v>57</v>
      </c>
      <c r="P7" s="1"/>
    </row>
    <row r="8" ht="15.75" customHeight="1">
      <c r="A8" s="40"/>
      <c r="B8" s="83"/>
      <c r="J8" s="47"/>
      <c r="K8" s="84"/>
      <c r="L8" s="85"/>
      <c r="M8" s="86"/>
      <c r="N8" s="87"/>
      <c r="O8" s="88"/>
      <c r="P8" s="1"/>
    </row>
    <row r="9" ht="15.75" customHeight="1">
      <c r="A9" s="40"/>
      <c r="B9" s="141"/>
      <c r="J9" s="47"/>
      <c r="K9" s="84"/>
      <c r="L9" s="85" t="b">
        <v>0</v>
      </c>
      <c r="M9" s="86"/>
      <c r="N9" s="142"/>
      <c r="O9" s="88"/>
      <c r="P9" s="40"/>
    </row>
    <row r="10" ht="15.75" customHeight="1">
      <c r="A10" s="40"/>
      <c r="B10" s="141"/>
      <c r="J10" s="47"/>
      <c r="K10" s="84"/>
      <c r="L10" s="143" t="b">
        <v>0</v>
      </c>
      <c r="M10" s="86"/>
      <c r="N10" s="142"/>
      <c r="O10" s="144"/>
      <c r="P10" s="40"/>
    </row>
    <row r="11" ht="15.75" customHeight="1">
      <c r="A11" s="40"/>
      <c r="B11" s="141"/>
      <c r="J11" s="47"/>
      <c r="K11" s="145"/>
      <c r="L11" s="85" t="b">
        <v>0</v>
      </c>
      <c r="M11" s="146"/>
      <c r="N11" s="142"/>
      <c r="O11" s="144"/>
      <c r="P11" s="40"/>
    </row>
    <row r="12" ht="15.75" customHeight="1">
      <c r="A12" s="40"/>
      <c r="B12" s="141"/>
      <c r="J12" s="47"/>
      <c r="K12" s="145"/>
      <c r="L12" s="85" t="b">
        <v>0</v>
      </c>
      <c r="M12" s="146"/>
      <c r="N12" s="142"/>
      <c r="O12" s="144"/>
      <c r="P12" s="40"/>
    </row>
    <row r="13" ht="15.75" customHeight="1">
      <c r="A13" s="40"/>
      <c r="B13" s="141"/>
      <c r="J13" s="47"/>
      <c r="K13" s="145"/>
      <c r="L13" s="85" t="b">
        <v>0</v>
      </c>
      <c r="M13" s="146"/>
      <c r="N13" s="142"/>
      <c r="O13" s="144"/>
      <c r="P13" s="40"/>
    </row>
    <row r="14" ht="15.75" customHeight="1">
      <c r="A14" s="40"/>
      <c r="B14" s="141"/>
      <c r="J14" s="47"/>
      <c r="K14" s="145"/>
      <c r="L14" s="143" t="b">
        <v>0</v>
      </c>
      <c r="M14" s="146"/>
      <c r="N14" s="142"/>
      <c r="O14" s="144"/>
      <c r="P14" s="40"/>
    </row>
    <row r="15" ht="15.75" customHeight="1">
      <c r="A15" s="40"/>
      <c r="B15" s="141"/>
      <c r="J15" s="47"/>
      <c r="K15" s="145"/>
      <c r="L15" s="143" t="b">
        <v>0</v>
      </c>
      <c r="M15" s="146"/>
      <c r="N15" s="142"/>
      <c r="O15" s="144"/>
      <c r="P15" s="40"/>
    </row>
    <row r="16" ht="15.75" customHeight="1">
      <c r="A16" s="40"/>
      <c r="B16" s="141"/>
      <c r="J16" s="47"/>
      <c r="K16" s="145"/>
      <c r="L16" s="143" t="b">
        <v>0</v>
      </c>
      <c r="M16" s="146"/>
      <c r="N16" s="142"/>
      <c r="O16" s="144"/>
      <c r="P16" s="40"/>
    </row>
    <row r="17" ht="15.75" customHeight="1">
      <c r="A17" s="40"/>
      <c r="B17" s="89"/>
      <c r="C17" s="16"/>
      <c r="D17" s="16"/>
      <c r="E17" s="16"/>
      <c r="F17" s="16"/>
      <c r="G17" s="16"/>
      <c r="H17" s="16"/>
      <c r="I17" s="16"/>
      <c r="J17" s="90"/>
      <c r="K17" s="91"/>
      <c r="L17" s="92" t="b">
        <v>0</v>
      </c>
      <c r="M17" s="93"/>
      <c r="N17" s="94"/>
      <c r="O17" s="95"/>
      <c r="P17" s="40"/>
    </row>
    <row r="18" ht="15.75" customHeight="1">
      <c r="A18" s="40"/>
      <c r="B18" s="96"/>
      <c r="C18" s="96"/>
      <c r="D18" s="96"/>
      <c r="E18" s="96"/>
      <c r="F18" s="96"/>
      <c r="G18" s="96"/>
      <c r="H18" s="96"/>
      <c r="I18" s="1"/>
      <c r="J18" s="101" t="s">
        <v>79</v>
      </c>
      <c r="K18" s="102"/>
      <c r="L18" s="1"/>
      <c r="M18" s="1"/>
      <c r="N18" s="97"/>
      <c r="O18" s="97"/>
      <c r="P18" s="40"/>
    </row>
    <row r="19" ht="15.75" customHeight="1">
      <c r="A19" s="40"/>
      <c r="B19" s="96"/>
      <c r="C19" s="96"/>
      <c r="D19" s="96"/>
      <c r="E19" s="96"/>
      <c r="F19" s="96"/>
      <c r="G19" s="96"/>
      <c r="H19" s="96"/>
      <c r="I19" s="100"/>
      <c r="J19" s="108" t="s">
        <v>63</v>
      </c>
      <c r="K19" s="109"/>
      <c r="L19" s="110"/>
      <c r="M19" s="111" t="s">
        <v>64</v>
      </c>
      <c r="N19" s="109"/>
      <c r="O19" s="102"/>
      <c r="P19" s="40"/>
    </row>
    <row r="20" ht="15.75" customHeight="1">
      <c r="A20" s="40"/>
      <c r="B20" s="19" t="s">
        <v>80</v>
      </c>
      <c r="C20" s="150"/>
      <c r="D20" s="150"/>
      <c r="E20" s="150"/>
      <c r="F20" s="150"/>
      <c r="G20" s="150"/>
      <c r="H20" s="150"/>
      <c r="I20" s="100"/>
      <c r="J20" s="117" t="str">
        <f t="array" ref="J20">GPA({K8:K17,M8:M17,O8:O17},1,2)</f>
        <v>Loading...</v>
      </c>
      <c r="K20" s="118"/>
      <c r="L20" s="110"/>
      <c r="M20" s="119" t="str">
        <f t="array" ref="M20">CREDITSSUM({K8:K17,M8:M17},1,2)</f>
        <v>Loading...</v>
      </c>
      <c r="N20" s="118"/>
      <c r="O20" s="120"/>
      <c r="P20" s="40"/>
    </row>
    <row r="21" ht="31.5" customHeight="1">
      <c r="A21" s="40"/>
      <c r="B21" s="76" t="s">
        <v>53</v>
      </c>
      <c r="C21" s="8"/>
      <c r="D21" s="8"/>
      <c r="E21" s="8"/>
      <c r="F21" s="8"/>
      <c r="G21" s="8"/>
      <c r="H21" s="8"/>
      <c r="I21" s="8"/>
      <c r="J21" s="77"/>
      <c r="K21" s="78" t="s">
        <v>54</v>
      </c>
      <c r="L21" s="79" t="s">
        <v>55</v>
      </c>
      <c r="M21" s="80" t="s">
        <v>56</v>
      </c>
      <c r="N21" s="81"/>
      <c r="O21" s="82" t="s">
        <v>57</v>
      </c>
      <c r="P21" s="1"/>
    </row>
    <row r="22" ht="15.75" customHeight="1">
      <c r="A22" s="40"/>
      <c r="B22" s="83"/>
      <c r="J22" s="47"/>
      <c r="K22" s="84"/>
      <c r="L22" s="85"/>
      <c r="M22" s="86"/>
      <c r="N22" s="87"/>
      <c r="O22" s="88"/>
      <c r="P22" s="1"/>
    </row>
    <row r="23" ht="15.75" customHeight="1">
      <c r="A23" s="40"/>
      <c r="B23" s="141"/>
      <c r="J23" s="47"/>
      <c r="K23" s="84"/>
      <c r="L23" s="85" t="b">
        <v>0</v>
      </c>
      <c r="M23" s="86"/>
      <c r="N23" s="142"/>
      <c r="O23" s="88"/>
      <c r="P23" s="40"/>
    </row>
    <row r="24" ht="15.75" customHeight="1">
      <c r="A24" s="40"/>
      <c r="B24" s="141"/>
      <c r="J24" s="47"/>
      <c r="K24" s="84"/>
      <c r="L24" s="143" t="b">
        <v>0</v>
      </c>
      <c r="M24" s="86"/>
      <c r="N24" s="142"/>
      <c r="O24" s="144"/>
      <c r="P24" s="40"/>
    </row>
    <row r="25" ht="15.75" customHeight="1">
      <c r="A25" s="40"/>
      <c r="B25" s="141"/>
      <c r="J25" s="47"/>
      <c r="K25" s="145"/>
      <c r="L25" s="143" t="b">
        <v>0</v>
      </c>
      <c r="M25" s="146"/>
      <c r="N25" s="142"/>
      <c r="O25" s="144"/>
      <c r="P25" s="40"/>
    </row>
    <row r="26" ht="15.75" customHeight="1">
      <c r="A26" s="40"/>
      <c r="B26" s="141"/>
      <c r="J26" s="47"/>
      <c r="K26" s="145"/>
      <c r="L26" s="85" t="b">
        <v>0</v>
      </c>
      <c r="M26" s="146"/>
      <c r="N26" s="142"/>
      <c r="O26" s="144"/>
      <c r="P26" s="40"/>
    </row>
    <row r="27" ht="15.75" customHeight="1">
      <c r="A27" s="40"/>
      <c r="B27" s="141"/>
      <c r="J27" s="47"/>
      <c r="K27" s="145"/>
      <c r="L27" s="85" t="b">
        <v>0</v>
      </c>
      <c r="M27" s="146"/>
      <c r="N27" s="142"/>
      <c r="O27" s="144"/>
      <c r="P27" s="40"/>
    </row>
    <row r="28" ht="15.75" customHeight="1">
      <c r="A28" s="40"/>
      <c r="B28" s="141"/>
      <c r="J28" s="47"/>
      <c r="K28" s="146"/>
      <c r="L28" s="85" t="b">
        <v>0</v>
      </c>
      <c r="M28" s="146"/>
      <c r="N28" s="142"/>
      <c r="O28" s="144"/>
      <c r="P28" s="40"/>
    </row>
    <row r="29" ht="15.75" customHeight="1">
      <c r="A29" s="40"/>
      <c r="B29" s="141"/>
      <c r="J29" s="47"/>
      <c r="K29" s="145"/>
      <c r="L29" s="143" t="b">
        <v>0</v>
      </c>
      <c r="M29" s="146"/>
      <c r="N29" s="142"/>
      <c r="O29" s="144"/>
      <c r="P29" s="40"/>
    </row>
    <row r="30" ht="15.75" customHeight="1">
      <c r="A30" s="40"/>
      <c r="B30" s="141"/>
      <c r="J30" s="47"/>
      <c r="K30" s="145"/>
      <c r="L30" s="143" t="b">
        <v>0</v>
      </c>
      <c r="M30" s="146"/>
      <c r="N30" s="142"/>
      <c r="O30" s="144"/>
      <c r="P30" s="40"/>
    </row>
    <row r="31" ht="15.75" customHeight="1">
      <c r="A31" s="40"/>
      <c r="B31" s="89"/>
      <c r="C31" s="16"/>
      <c r="D31" s="16"/>
      <c r="E31" s="16"/>
      <c r="F31" s="16"/>
      <c r="G31" s="16"/>
      <c r="H31" s="16"/>
      <c r="I31" s="16"/>
      <c r="J31" s="90"/>
      <c r="K31" s="91"/>
      <c r="L31" s="92" t="b">
        <v>0</v>
      </c>
      <c r="M31" s="93"/>
      <c r="N31" s="94"/>
      <c r="O31" s="95"/>
      <c r="P31" s="40"/>
    </row>
    <row r="32" ht="15.75" customHeight="1">
      <c r="A32" s="40"/>
      <c r="B32" s="96"/>
      <c r="C32" s="96"/>
      <c r="D32" s="96"/>
      <c r="E32" s="96"/>
      <c r="F32" s="96"/>
      <c r="G32" s="96"/>
      <c r="H32" s="96"/>
      <c r="I32" s="1"/>
      <c r="J32" s="101" t="s">
        <v>81</v>
      </c>
      <c r="K32" s="102"/>
      <c r="L32" s="1"/>
      <c r="M32" s="1"/>
      <c r="N32" s="97"/>
      <c r="O32" s="97"/>
      <c r="P32" s="40"/>
    </row>
    <row r="33" ht="15.75" customHeight="1">
      <c r="A33" s="40"/>
      <c r="B33" s="96"/>
      <c r="C33" s="96"/>
      <c r="D33" s="96"/>
      <c r="E33" s="96"/>
      <c r="F33" s="96"/>
      <c r="G33" s="96"/>
      <c r="H33" s="96"/>
      <c r="I33" s="100"/>
      <c r="J33" s="108" t="s">
        <v>63</v>
      </c>
      <c r="K33" s="109"/>
      <c r="L33" s="110"/>
      <c r="M33" s="111" t="s">
        <v>64</v>
      </c>
      <c r="N33" s="109"/>
      <c r="O33" s="102"/>
      <c r="P33" s="40"/>
    </row>
    <row r="34" ht="15.75" customHeight="1">
      <c r="A34" s="40"/>
      <c r="B34" s="19" t="s">
        <v>82</v>
      </c>
      <c r="C34" s="150"/>
      <c r="D34" s="150"/>
      <c r="E34" s="150"/>
      <c r="F34" s="150"/>
      <c r="G34" s="150"/>
      <c r="H34" s="150"/>
      <c r="I34" s="100"/>
      <c r="J34" s="117" t="str">
        <f t="array" ref="J34">GPA({K22:K31,M22:M31,O22:O31},1,2)</f>
        <v>Loading...</v>
      </c>
      <c r="K34" s="118"/>
      <c r="L34" s="110"/>
      <c r="M34" s="119" t="str">
        <f t="array" ref="M34">CREDITSSUM({K22:K31,M22:M31},1,2)</f>
        <v>Loading...</v>
      </c>
      <c r="N34" s="118"/>
      <c r="O34" s="120"/>
      <c r="P34" s="40"/>
    </row>
    <row r="35" ht="31.5" customHeight="1">
      <c r="A35" s="40"/>
      <c r="B35" s="76" t="s">
        <v>53</v>
      </c>
      <c r="C35" s="8"/>
      <c r="D35" s="8"/>
      <c r="E35" s="8"/>
      <c r="F35" s="8"/>
      <c r="G35" s="8"/>
      <c r="H35" s="8"/>
      <c r="I35" s="8"/>
      <c r="J35" s="77"/>
      <c r="K35" s="78" t="s">
        <v>54</v>
      </c>
      <c r="L35" s="79" t="s">
        <v>55</v>
      </c>
      <c r="M35" s="80" t="s">
        <v>56</v>
      </c>
      <c r="N35" s="81"/>
      <c r="O35" s="82" t="s">
        <v>57</v>
      </c>
      <c r="P35" s="1"/>
    </row>
    <row r="36" ht="15.75" customHeight="1">
      <c r="A36" s="40"/>
      <c r="B36" s="83"/>
      <c r="J36" s="47"/>
      <c r="K36" s="84"/>
      <c r="L36" s="85"/>
      <c r="M36" s="86"/>
      <c r="N36" s="87"/>
      <c r="O36" s="88"/>
      <c r="P36" s="1"/>
    </row>
    <row r="37" ht="15.75" customHeight="1">
      <c r="A37" s="40"/>
      <c r="B37" s="141"/>
      <c r="J37" s="47"/>
      <c r="K37" s="84"/>
      <c r="L37" s="85" t="b">
        <v>0</v>
      </c>
      <c r="M37" s="86"/>
      <c r="N37" s="142"/>
      <c r="O37" s="88"/>
      <c r="P37" s="40"/>
    </row>
    <row r="38" ht="15.75" customHeight="1">
      <c r="A38" s="40"/>
      <c r="B38" s="141"/>
      <c r="J38" s="47"/>
      <c r="K38" s="84"/>
      <c r="L38" s="143" t="b">
        <v>0</v>
      </c>
      <c r="M38" s="86"/>
      <c r="N38" s="142"/>
      <c r="O38" s="144"/>
      <c r="P38" s="40"/>
    </row>
    <row r="39" ht="15.75" customHeight="1">
      <c r="A39" s="40"/>
      <c r="B39" s="141"/>
      <c r="J39" s="47"/>
      <c r="K39" s="145"/>
      <c r="L39" s="143" t="b">
        <v>0</v>
      </c>
      <c r="M39" s="146"/>
      <c r="N39" s="142"/>
      <c r="O39" s="144"/>
      <c r="P39" s="40"/>
    </row>
    <row r="40" ht="15.75" customHeight="1">
      <c r="A40" s="40"/>
      <c r="B40" s="141"/>
      <c r="J40" s="47"/>
      <c r="K40" s="145"/>
      <c r="L40" s="85" t="b">
        <v>0</v>
      </c>
      <c r="M40" s="146"/>
      <c r="N40" s="142"/>
      <c r="O40" s="144"/>
      <c r="P40" s="40"/>
    </row>
    <row r="41" ht="15.75" customHeight="1">
      <c r="A41" s="40"/>
      <c r="B41" s="141"/>
      <c r="J41" s="47"/>
      <c r="K41" s="145"/>
      <c r="L41" s="85" t="b">
        <v>0</v>
      </c>
      <c r="M41" s="146"/>
      <c r="N41" s="142"/>
      <c r="O41" s="144"/>
      <c r="P41" s="40"/>
    </row>
    <row r="42" ht="15.75" customHeight="1">
      <c r="A42" s="40"/>
      <c r="B42" s="141"/>
      <c r="J42" s="47"/>
      <c r="K42" s="146"/>
      <c r="L42" s="85" t="b">
        <v>0</v>
      </c>
      <c r="M42" s="146"/>
      <c r="N42" s="142"/>
      <c r="O42" s="144"/>
      <c r="P42" s="40"/>
    </row>
    <row r="43" ht="15.75" customHeight="1">
      <c r="A43" s="40"/>
      <c r="B43" s="141"/>
      <c r="J43" s="47"/>
      <c r="K43" s="145"/>
      <c r="L43" s="143" t="b">
        <v>0</v>
      </c>
      <c r="M43" s="146"/>
      <c r="N43" s="142"/>
      <c r="O43" s="144"/>
      <c r="P43" s="40"/>
    </row>
    <row r="44" ht="15.75" customHeight="1">
      <c r="A44" s="40"/>
      <c r="B44" s="141"/>
      <c r="J44" s="47"/>
      <c r="K44" s="145"/>
      <c r="L44" s="143" t="b">
        <v>0</v>
      </c>
      <c r="M44" s="146"/>
      <c r="N44" s="142"/>
      <c r="O44" s="144"/>
      <c r="P44" s="40"/>
    </row>
    <row r="45" ht="15.75" customHeight="1">
      <c r="A45" s="40"/>
      <c r="B45" s="89"/>
      <c r="C45" s="16"/>
      <c r="D45" s="16"/>
      <c r="E45" s="16"/>
      <c r="F45" s="16"/>
      <c r="G45" s="16"/>
      <c r="H45" s="16"/>
      <c r="I45" s="16"/>
      <c r="J45" s="90"/>
      <c r="K45" s="91"/>
      <c r="L45" s="92" t="b">
        <v>0</v>
      </c>
      <c r="M45" s="93"/>
      <c r="N45" s="94"/>
      <c r="O45" s="95"/>
      <c r="P45" s="40"/>
    </row>
    <row r="46" ht="15.75" customHeight="1">
      <c r="A46" s="40"/>
      <c r="B46" s="96"/>
      <c r="C46" s="96"/>
      <c r="D46" s="96"/>
      <c r="E46" s="96"/>
      <c r="F46" s="96"/>
      <c r="G46" s="96"/>
      <c r="H46" s="96"/>
      <c r="I46" s="1"/>
      <c r="J46" s="101" t="s">
        <v>83</v>
      </c>
      <c r="K46" s="102"/>
      <c r="L46" s="1"/>
      <c r="M46" s="1"/>
      <c r="N46" s="97"/>
      <c r="O46" s="97"/>
      <c r="P46" s="40"/>
    </row>
    <row r="47" ht="15.75" customHeight="1">
      <c r="A47" s="40"/>
      <c r="B47" s="96"/>
      <c r="C47" s="96"/>
      <c r="D47" s="96"/>
      <c r="E47" s="96"/>
      <c r="F47" s="96"/>
      <c r="G47" s="96"/>
      <c r="H47" s="96"/>
      <c r="I47" s="100"/>
      <c r="J47" s="108" t="s">
        <v>63</v>
      </c>
      <c r="K47" s="109"/>
      <c r="L47" s="110"/>
      <c r="M47" s="111" t="s">
        <v>64</v>
      </c>
      <c r="N47" s="109"/>
      <c r="O47" s="102"/>
      <c r="P47" s="40"/>
    </row>
    <row r="48" ht="15.75" customHeight="1">
      <c r="A48" s="40"/>
      <c r="B48" s="98" t="s">
        <v>58</v>
      </c>
      <c r="C48" s="99"/>
      <c r="D48" s="99"/>
      <c r="E48" s="99"/>
      <c r="F48" s="99"/>
      <c r="G48" s="99"/>
      <c r="H48" s="99"/>
      <c r="I48" s="100"/>
      <c r="J48" s="117" t="str">
        <f t="array" ref="J48">GPA({K36:K45,M36:M45,O36:O45},1,2)</f>
        <v>Loading...</v>
      </c>
      <c r="K48" s="118"/>
      <c r="L48" s="110"/>
      <c r="M48" s="119" t="str">
        <f t="array" ref="M48">CREDITSSUM({K36:K45,M36:M45},1,2)</f>
        <v>Loading...</v>
      </c>
      <c r="N48" s="118"/>
      <c r="O48" s="120"/>
      <c r="P48" s="40"/>
    </row>
    <row r="49" ht="15.75" customHeight="1">
      <c r="A49" s="40"/>
      <c r="B49" s="103" t="s">
        <v>60</v>
      </c>
      <c r="C49" s="104" t="s">
        <v>61</v>
      </c>
      <c r="D49" s="105"/>
      <c r="E49" s="106"/>
      <c r="F49" s="104" t="s">
        <v>62</v>
      </c>
      <c r="G49" s="105"/>
      <c r="H49" s="107"/>
      <c r="I49" s="110"/>
      <c r="J49" s="1"/>
      <c r="K49" s="1"/>
      <c r="L49" s="1"/>
      <c r="M49" s="1"/>
      <c r="N49" s="1"/>
      <c r="O49" s="1"/>
      <c r="P49" s="40"/>
    </row>
    <row r="50" ht="15.75" customHeight="1">
      <c r="A50" s="40"/>
      <c r="B50" s="112"/>
      <c r="C50" s="113" t="s">
        <v>65</v>
      </c>
      <c r="D50" s="114" t="s">
        <v>66</v>
      </c>
      <c r="E50" s="115" t="s">
        <v>67</v>
      </c>
      <c r="F50" s="113" t="s">
        <v>65</v>
      </c>
      <c r="G50" s="114" t="s">
        <v>66</v>
      </c>
      <c r="H50" s="116" t="s">
        <v>67</v>
      </c>
      <c r="I50" s="110"/>
      <c r="J50" s="101" t="s">
        <v>59</v>
      </c>
      <c r="K50" s="102"/>
      <c r="L50" s="1"/>
      <c r="M50" s="1"/>
      <c r="N50" s="97"/>
      <c r="O50" s="97"/>
      <c r="P50" s="40"/>
    </row>
    <row r="51" ht="15.75" customHeight="1">
      <c r="A51" s="40"/>
      <c r="B51" s="132" t="s">
        <v>68</v>
      </c>
      <c r="C51" s="122"/>
      <c r="D51" s="84"/>
      <c r="E51" s="123"/>
      <c r="F51" s="86"/>
      <c r="G51" s="84"/>
      <c r="H51" s="124"/>
      <c r="I51" s="110"/>
      <c r="J51" s="108" t="s">
        <v>63</v>
      </c>
      <c r="K51" s="109"/>
      <c r="L51" s="110"/>
      <c r="M51" s="111" t="s">
        <v>64</v>
      </c>
      <c r="N51" s="109"/>
      <c r="O51" s="102"/>
      <c r="P51" s="40"/>
    </row>
    <row r="52" ht="15.75" customHeight="1">
      <c r="A52" s="40"/>
      <c r="B52" s="132" t="s">
        <v>69</v>
      </c>
      <c r="C52" s="122"/>
      <c r="D52" s="84"/>
      <c r="E52" s="123"/>
      <c r="F52" s="86"/>
      <c r="G52" s="84"/>
      <c r="H52" s="124"/>
      <c r="I52" s="110"/>
      <c r="J52" s="117" t="str">
        <f t="array" ref="J52">GPA({K8:K17,M8:M17,O8:O17;K22:K31,M22:M31,O22:O31;K36:K45,M36:M45,O36:O45},1,2)</f>
        <v>Loading...</v>
      </c>
      <c r="K52" s="118"/>
      <c r="L52" s="110"/>
      <c r="M52" s="119" t="str">
        <f t="array" ref="M52">CREDITSSUM({K8:K17,M8:M17;K22:K31,M22:M31;K36:K45,M36:M45},1,2)</f>
        <v>Loading...</v>
      </c>
      <c r="N52" s="118"/>
      <c r="O52" s="120"/>
      <c r="P52" s="40"/>
    </row>
    <row r="53" ht="15.75" customHeight="1">
      <c r="A53" s="40"/>
      <c r="B53" s="121" t="s">
        <v>70</v>
      </c>
      <c r="C53" s="122"/>
      <c r="D53" s="84"/>
      <c r="E53" s="123"/>
      <c r="F53" s="86"/>
      <c r="G53" s="84"/>
      <c r="H53" s="124"/>
      <c r="I53" s="97"/>
      <c r="J53" s="97"/>
      <c r="K53" s="97"/>
      <c r="L53" s="131"/>
      <c r="M53" s="97"/>
      <c r="N53" s="97"/>
      <c r="O53" s="97"/>
      <c r="P53" s="40"/>
    </row>
    <row r="54" ht="15.75" customHeight="1">
      <c r="A54" s="40"/>
      <c r="B54" s="125" t="s">
        <v>71</v>
      </c>
      <c r="C54" s="126"/>
      <c r="D54" s="127"/>
      <c r="E54" s="128"/>
      <c r="F54" s="129"/>
      <c r="G54" s="127"/>
      <c r="H54" s="130"/>
      <c r="I54" s="97"/>
      <c r="J54" s="97"/>
      <c r="K54" s="97"/>
      <c r="L54" s="131"/>
      <c r="M54" s="97"/>
      <c r="N54" s="97"/>
      <c r="O54" s="97"/>
      <c r="P54" s="40"/>
    </row>
    <row r="55" ht="15.75" customHeight="1">
      <c r="A55" s="40"/>
      <c r="B55" s="96"/>
      <c r="C55" s="96"/>
      <c r="D55" s="96"/>
      <c r="E55" s="96"/>
      <c r="F55" s="96"/>
      <c r="G55" s="96"/>
      <c r="H55" s="96"/>
      <c r="I55" s="97"/>
      <c r="J55" s="97"/>
      <c r="K55" s="97"/>
      <c r="L55" s="131"/>
      <c r="M55" s="97"/>
      <c r="N55" s="97"/>
      <c r="O55" s="97"/>
      <c r="P55" s="40"/>
    </row>
    <row r="56" ht="15.75" customHeight="1">
      <c r="A56" s="40"/>
      <c r="B56" s="96"/>
      <c r="C56" s="96"/>
      <c r="D56" s="96"/>
      <c r="E56" s="96"/>
      <c r="F56" s="96"/>
      <c r="G56" s="96"/>
      <c r="H56" s="96"/>
      <c r="I56" s="97"/>
      <c r="J56" s="97"/>
      <c r="K56" s="97"/>
      <c r="L56" s="131"/>
      <c r="M56" s="97"/>
      <c r="N56" s="97"/>
      <c r="O56" s="97"/>
      <c r="P56" s="40"/>
    </row>
  </sheetData>
  <mergeCells count="74">
    <mergeCell ref="B28:J28"/>
    <mergeCell ref="B29:J29"/>
    <mergeCell ref="B30:J30"/>
    <mergeCell ref="B31:J31"/>
    <mergeCell ref="J32:K32"/>
    <mergeCell ref="J33:K33"/>
    <mergeCell ref="J34:K34"/>
    <mergeCell ref="B35:J35"/>
    <mergeCell ref="B36:J36"/>
    <mergeCell ref="B37:J37"/>
    <mergeCell ref="B38:J38"/>
    <mergeCell ref="B39:J39"/>
    <mergeCell ref="B40:J40"/>
    <mergeCell ref="B41:J41"/>
    <mergeCell ref="M47:O47"/>
    <mergeCell ref="M48:O48"/>
    <mergeCell ref="M51:O51"/>
    <mergeCell ref="M52:O52"/>
    <mergeCell ref="B49:B50"/>
    <mergeCell ref="C49:E49"/>
    <mergeCell ref="F49:H49"/>
    <mergeCell ref="J50:K50"/>
    <mergeCell ref="J51:K51"/>
    <mergeCell ref="J52:K52"/>
    <mergeCell ref="B42:J42"/>
    <mergeCell ref="B43:J43"/>
    <mergeCell ref="B44:J44"/>
    <mergeCell ref="B45:J45"/>
    <mergeCell ref="J46:K46"/>
    <mergeCell ref="J47:K47"/>
    <mergeCell ref="J48:K48"/>
    <mergeCell ref="C1:H1"/>
    <mergeCell ref="I1:O1"/>
    <mergeCell ref="C2:E2"/>
    <mergeCell ref="F2:H2"/>
    <mergeCell ref="I2:J2"/>
    <mergeCell ref="K2:O2"/>
    <mergeCell ref="C3:E3"/>
    <mergeCell ref="K3:O3"/>
    <mergeCell ref="F3:H3"/>
    <mergeCell ref="I3:J3"/>
    <mergeCell ref="C4:E4"/>
    <mergeCell ref="F4:H4"/>
    <mergeCell ref="I4:J4"/>
    <mergeCell ref="K4:O4"/>
    <mergeCell ref="C5:E6"/>
    <mergeCell ref="K5:O6"/>
    <mergeCell ref="F5:H6"/>
    <mergeCell ref="I5:J6"/>
    <mergeCell ref="B7:J7"/>
    <mergeCell ref="B8:J8"/>
    <mergeCell ref="B9:J9"/>
    <mergeCell ref="B10:J10"/>
    <mergeCell ref="B11:J11"/>
    <mergeCell ref="J19:K19"/>
    <mergeCell ref="M19:O19"/>
    <mergeCell ref="J20:K20"/>
    <mergeCell ref="M20:O20"/>
    <mergeCell ref="B12:J12"/>
    <mergeCell ref="B13:J13"/>
    <mergeCell ref="B14:J14"/>
    <mergeCell ref="B15:J15"/>
    <mergeCell ref="B16:J16"/>
    <mergeCell ref="B17:J17"/>
    <mergeCell ref="J18:K18"/>
    <mergeCell ref="B21:J21"/>
    <mergeCell ref="B22:J22"/>
    <mergeCell ref="B23:J23"/>
    <mergeCell ref="B24:J24"/>
    <mergeCell ref="B25:J25"/>
    <mergeCell ref="B26:J26"/>
    <mergeCell ref="B27:J27"/>
    <mergeCell ref="M33:O33"/>
    <mergeCell ref="M34:O34"/>
  </mergeCells>
  <dataValidations>
    <dataValidation type="custom" allowBlank="1" showDropDown="1" showInputMessage="1" showErrorMessage="1" prompt="Enter a number" sqref="K8:K15 O8:O17 K22:K30 O22:O31 K36:K44 O36:O45">
      <formula1>ISNUMBER(K8)</formula1>
    </dataValidation>
    <dataValidation type="list" allowBlank="1" showInputMessage="1" showErrorMessage="1" prompt="Click and enter a valid scale from the list of items. The valid scales are Letter, 0-100, 0-4, and None" sqref="B3">
      <formula1>"Letter,0-4,0-100,None"</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8.88"/>
    <col customWidth="1" min="3" max="8" width="6.38"/>
    <col customWidth="1" hidden="1" min="9" max="9" width="18.88"/>
    <col customWidth="1" min="10" max="10" width="18.88"/>
    <col customWidth="1" min="11" max="11" width="6.38"/>
    <col customWidth="1" hidden="1" min="12" max="12" width="18.88"/>
    <col customWidth="1" min="13" max="13" width="6.38"/>
    <col customWidth="1" hidden="1" min="14" max="14" width="6.38"/>
    <col customWidth="1" min="15" max="15" width="6.38"/>
  </cols>
  <sheetData>
    <row r="1" ht="31.5" customHeight="1">
      <c r="A1" s="58"/>
      <c r="B1" s="1"/>
      <c r="C1" s="71" t="s">
        <v>5</v>
      </c>
      <c r="I1" s="58" t="s">
        <v>6</v>
      </c>
      <c r="P1" s="72"/>
    </row>
    <row r="2" ht="15.75" customHeight="1">
      <c r="A2" s="73"/>
      <c r="B2" s="74" t="s">
        <v>50</v>
      </c>
      <c r="C2" s="59" t="s">
        <v>8</v>
      </c>
      <c r="F2" s="60" t="str">
        <f>'Getting Started'!$G$10</f>
        <v/>
      </c>
      <c r="I2" s="59" t="s">
        <v>9</v>
      </c>
      <c r="K2" s="60" t="str">
        <f>'Getting Started'!$I$10</f>
        <v/>
      </c>
      <c r="P2" s="40"/>
    </row>
    <row r="3" ht="15.75" customHeight="1">
      <c r="A3" s="73"/>
      <c r="B3" s="75" t="s">
        <v>51</v>
      </c>
      <c r="C3" s="59" t="s">
        <v>11</v>
      </c>
      <c r="F3" s="61" t="str">
        <f>'Getting Started'!$G$11</f>
        <v/>
      </c>
      <c r="I3" s="59" t="s">
        <v>12</v>
      </c>
      <c r="K3" s="60" t="str">
        <f>'Getting Started'!$I$11</f>
        <v/>
      </c>
      <c r="P3" s="40"/>
    </row>
    <row r="4" ht="31.5" customHeight="1">
      <c r="A4" s="73"/>
      <c r="B4" s="1"/>
      <c r="C4" s="59" t="s">
        <v>13</v>
      </c>
      <c r="F4" s="60" t="str">
        <f>'Getting Started'!$G$12</f>
        <v/>
      </c>
      <c r="I4" s="59" t="s">
        <v>14</v>
      </c>
      <c r="K4" s="60" t="str">
        <f>'Getting Started'!$I$12</f>
        <v/>
      </c>
      <c r="P4" s="40"/>
    </row>
    <row r="5" ht="15.75" customHeight="1">
      <c r="A5" s="73"/>
      <c r="B5" s="1"/>
      <c r="C5" s="59" t="s">
        <v>15</v>
      </c>
      <c r="F5" s="62" t="str">
        <f>'Getting Started'!$G$14</f>
        <v/>
      </c>
      <c r="I5" s="59" t="s">
        <v>16</v>
      </c>
      <c r="K5" s="60" t="str">
        <f>'Getting Started'!$I$14</f>
        <v/>
      </c>
      <c r="P5" s="40"/>
    </row>
    <row r="6" ht="15.75" customHeight="1">
      <c r="A6" s="73"/>
      <c r="B6" s="19" t="s">
        <v>84</v>
      </c>
      <c r="P6" s="40"/>
    </row>
    <row r="7" ht="31.5" customHeight="1">
      <c r="A7" s="40"/>
      <c r="B7" s="76" t="s">
        <v>53</v>
      </c>
      <c r="C7" s="8"/>
      <c r="D7" s="8"/>
      <c r="E7" s="8"/>
      <c r="F7" s="8"/>
      <c r="G7" s="8"/>
      <c r="H7" s="8"/>
      <c r="I7" s="8"/>
      <c r="J7" s="77"/>
      <c r="K7" s="78" t="s">
        <v>54</v>
      </c>
      <c r="L7" s="79" t="s">
        <v>55</v>
      </c>
      <c r="M7" s="80" t="s">
        <v>56</v>
      </c>
      <c r="N7" s="81"/>
      <c r="O7" s="82" t="s">
        <v>57</v>
      </c>
      <c r="P7" s="1"/>
    </row>
    <row r="8" ht="15.75" customHeight="1">
      <c r="A8" s="40"/>
      <c r="B8" s="83"/>
      <c r="J8" s="47"/>
      <c r="K8" s="84"/>
      <c r="L8" s="85"/>
      <c r="M8" s="86"/>
      <c r="N8" s="87"/>
      <c r="O8" s="88"/>
      <c r="P8" s="1"/>
    </row>
    <row r="9" ht="15.75" customHeight="1">
      <c r="A9" s="40"/>
      <c r="B9" s="141"/>
      <c r="J9" s="47"/>
      <c r="K9" s="84"/>
      <c r="L9" s="85" t="b">
        <v>0</v>
      </c>
      <c r="M9" s="86"/>
      <c r="N9" s="142"/>
      <c r="O9" s="88"/>
      <c r="P9" s="40"/>
    </row>
    <row r="10" ht="15.75" customHeight="1">
      <c r="A10" s="40"/>
      <c r="B10" s="141"/>
      <c r="J10" s="47"/>
      <c r="K10" s="84"/>
      <c r="L10" s="143" t="b">
        <v>0</v>
      </c>
      <c r="M10" s="86"/>
      <c r="N10" s="142"/>
      <c r="O10" s="144"/>
      <c r="P10" s="40"/>
    </row>
    <row r="11" ht="15.75" customHeight="1">
      <c r="A11" s="40"/>
      <c r="B11" s="141"/>
      <c r="J11" s="47"/>
      <c r="K11" s="145"/>
      <c r="L11" s="85" t="b">
        <v>0</v>
      </c>
      <c r="M11" s="146"/>
      <c r="N11" s="142"/>
      <c r="O11" s="144"/>
      <c r="P11" s="40"/>
    </row>
    <row r="12" ht="15.75" customHeight="1">
      <c r="A12" s="40"/>
      <c r="B12" s="141"/>
      <c r="J12" s="47"/>
      <c r="K12" s="145"/>
      <c r="L12" s="85" t="b">
        <v>0</v>
      </c>
      <c r="M12" s="146"/>
      <c r="N12" s="142"/>
      <c r="O12" s="144"/>
      <c r="P12" s="40"/>
    </row>
    <row r="13" ht="15.75" customHeight="1">
      <c r="A13" s="40"/>
      <c r="B13" s="89"/>
      <c r="C13" s="16"/>
      <c r="D13" s="16"/>
      <c r="E13" s="16"/>
      <c r="F13" s="16"/>
      <c r="G13" s="16"/>
      <c r="H13" s="16"/>
      <c r="I13" s="16"/>
      <c r="J13" s="90"/>
      <c r="K13" s="91"/>
      <c r="L13" s="92" t="b">
        <v>0</v>
      </c>
      <c r="M13" s="93"/>
      <c r="N13" s="94"/>
      <c r="O13" s="95"/>
      <c r="P13" s="40"/>
    </row>
    <row r="14" ht="15.75" customHeight="1">
      <c r="A14" s="40"/>
      <c r="B14" s="96"/>
      <c r="C14" s="1"/>
      <c r="D14" s="1"/>
      <c r="E14" s="1"/>
      <c r="F14" s="1"/>
      <c r="G14" s="1"/>
      <c r="H14" s="1"/>
      <c r="I14" s="1"/>
      <c r="J14" s="101" t="s">
        <v>85</v>
      </c>
      <c r="K14" s="102"/>
      <c r="L14" s="1"/>
      <c r="M14" s="1"/>
      <c r="N14" s="97"/>
      <c r="O14" s="97"/>
      <c r="P14" s="40"/>
    </row>
    <row r="15" ht="15.75" customHeight="1">
      <c r="A15" s="40"/>
      <c r="B15" s="96"/>
      <c r="C15" s="100"/>
      <c r="D15" s="100"/>
      <c r="E15" s="100"/>
      <c r="F15" s="100"/>
      <c r="G15" s="100"/>
      <c r="H15" s="100"/>
      <c r="I15" s="100"/>
      <c r="J15" s="108" t="s">
        <v>63</v>
      </c>
      <c r="K15" s="109"/>
      <c r="L15" s="110"/>
      <c r="M15" s="111" t="s">
        <v>64</v>
      </c>
      <c r="N15" s="109"/>
      <c r="O15" s="102"/>
      <c r="P15" s="40"/>
    </row>
    <row r="16" ht="15.75" customHeight="1">
      <c r="A16" s="40"/>
      <c r="B16" s="19" t="s">
        <v>86</v>
      </c>
      <c r="C16" s="100"/>
      <c r="D16" s="100"/>
      <c r="E16" s="100"/>
      <c r="F16" s="100"/>
      <c r="G16" s="100"/>
      <c r="H16" s="100"/>
      <c r="I16" s="100"/>
      <c r="J16" s="117" t="str">
        <f t="array" ref="J16">GPA({K8:K13,M8:M13,O8:O13},1,2)</f>
        <v>Loading...</v>
      </c>
      <c r="K16" s="118"/>
      <c r="L16" s="110"/>
      <c r="M16" s="119" t="str">
        <f t="array" ref="M16">CREDITSSUM({K8:K13,M8:M13},1,2)</f>
        <v>Loading...</v>
      </c>
      <c r="N16" s="118"/>
      <c r="O16" s="120"/>
      <c r="P16" s="40"/>
    </row>
    <row r="17" ht="31.5" customHeight="1">
      <c r="A17" s="40"/>
      <c r="B17" s="76" t="s">
        <v>53</v>
      </c>
      <c r="C17" s="8"/>
      <c r="D17" s="8"/>
      <c r="E17" s="8"/>
      <c r="F17" s="8"/>
      <c r="G17" s="8"/>
      <c r="H17" s="8"/>
      <c r="I17" s="8"/>
      <c r="J17" s="77"/>
      <c r="K17" s="78" t="s">
        <v>54</v>
      </c>
      <c r="L17" s="79" t="s">
        <v>55</v>
      </c>
      <c r="M17" s="80" t="s">
        <v>56</v>
      </c>
      <c r="N17" s="81"/>
      <c r="O17" s="82" t="s">
        <v>57</v>
      </c>
      <c r="P17" s="1"/>
    </row>
    <row r="18" ht="15.75" customHeight="1">
      <c r="A18" s="40"/>
      <c r="B18" s="83"/>
      <c r="J18" s="47"/>
      <c r="K18" s="84"/>
      <c r="L18" s="85"/>
      <c r="M18" s="86"/>
      <c r="N18" s="87"/>
      <c r="O18" s="88"/>
      <c r="P18" s="1"/>
    </row>
    <row r="19" ht="15.75" customHeight="1">
      <c r="A19" s="40"/>
      <c r="B19" s="141"/>
      <c r="J19" s="47"/>
      <c r="K19" s="84"/>
      <c r="L19" s="85" t="b">
        <v>0</v>
      </c>
      <c r="M19" s="86"/>
      <c r="N19" s="142"/>
      <c r="O19" s="88"/>
      <c r="P19" s="40"/>
    </row>
    <row r="20" ht="15.75" customHeight="1">
      <c r="A20" s="40"/>
      <c r="B20" s="141"/>
      <c r="J20" s="47"/>
      <c r="K20" s="84"/>
      <c r="L20" s="143" t="b">
        <v>0</v>
      </c>
      <c r="M20" s="86"/>
      <c r="N20" s="142"/>
      <c r="O20" s="144"/>
      <c r="P20" s="40"/>
    </row>
    <row r="21" ht="15.75" customHeight="1">
      <c r="A21" s="40"/>
      <c r="B21" s="141"/>
      <c r="J21" s="47"/>
      <c r="K21" s="145"/>
      <c r="L21" s="143" t="b">
        <v>0</v>
      </c>
      <c r="M21" s="146"/>
      <c r="N21" s="142"/>
      <c r="O21" s="144"/>
      <c r="P21" s="40"/>
    </row>
    <row r="22" ht="15.75" customHeight="1">
      <c r="A22" s="40"/>
      <c r="B22" s="141"/>
      <c r="J22" s="47"/>
      <c r="K22" s="145"/>
      <c r="L22" s="85" t="b">
        <v>0</v>
      </c>
      <c r="M22" s="146"/>
      <c r="N22" s="142"/>
      <c r="O22" s="144"/>
      <c r="P22" s="40"/>
    </row>
    <row r="23" ht="15.75" customHeight="1">
      <c r="A23" s="40"/>
      <c r="B23" s="89"/>
      <c r="C23" s="16"/>
      <c r="D23" s="16"/>
      <c r="E23" s="16"/>
      <c r="F23" s="16"/>
      <c r="G23" s="16"/>
      <c r="H23" s="16"/>
      <c r="I23" s="16"/>
      <c r="J23" s="90"/>
      <c r="K23" s="91"/>
      <c r="L23" s="92" t="b">
        <v>0</v>
      </c>
      <c r="M23" s="93"/>
      <c r="N23" s="94"/>
      <c r="O23" s="95"/>
      <c r="P23" s="40"/>
    </row>
    <row r="24" ht="15.75" customHeight="1">
      <c r="A24" s="40"/>
      <c r="B24" s="96"/>
      <c r="C24" s="1"/>
      <c r="D24" s="1"/>
      <c r="E24" s="1"/>
      <c r="F24" s="1"/>
      <c r="G24" s="1"/>
      <c r="H24" s="1"/>
      <c r="I24" s="1"/>
      <c r="J24" s="101" t="s">
        <v>87</v>
      </c>
      <c r="K24" s="102"/>
      <c r="L24" s="1"/>
      <c r="M24" s="1"/>
      <c r="N24" s="97"/>
      <c r="O24" s="97"/>
      <c r="P24" s="40"/>
    </row>
    <row r="25" ht="15.75" customHeight="1">
      <c r="A25" s="40"/>
      <c r="B25" s="96"/>
      <c r="C25" s="100"/>
      <c r="D25" s="100"/>
      <c r="E25" s="100"/>
      <c r="F25" s="100"/>
      <c r="G25" s="100"/>
      <c r="H25" s="100"/>
      <c r="I25" s="100"/>
      <c r="J25" s="108" t="s">
        <v>63</v>
      </c>
      <c r="K25" s="109"/>
      <c r="L25" s="110"/>
      <c r="M25" s="111" t="s">
        <v>64</v>
      </c>
      <c r="N25" s="109"/>
      <c r="O25" s="102"/>
      <c r="P25" s="40"/>
    </row>
    <row r="26" ht="15.75" customHeight="1">
      <c r="A26" s="40"/>
      <c r="B26" s="19" t="s">
        <v>88</v>
      </c>
      <c r="C26" s="100"/>
      <c r="D26" s="100"/>
      <c r="E26" s="100"/>
      <c r="F26" s="100"/>
      <c r="G26" s="100"/>
      <c r="H26" s="100"/>
      <c r="I26" s="100"/>
      <c r="J26" s="117" t="str">
        <f t="array" ref="J26">GPA({K18:K23,M18:M23,O18:O23},1,2)</f>
        <v>Loading...</v>
      </c>
      <c r="K26" s="118"/>
      <c r="L26" s="110"/>
      <c r="M26" s="119" t="str">
        <f t="array" ref="M26">CREDITSSUM({K18:K23,M18:M23},1,2)</f>
        <v>Loading...</v>
      </c>
      <c r="N26" s="118"/>
      <c r="O26" s="120"/>
      <c r="P26" s="40"/>
    </row>
    <row r="27" ht="31.5" customHeight="1">
      <c r="A27" s="40"/>
      <c r="B27" s="76" t="s">
        <v>53</v>
      </c>
      <c r="C27" s="8"/>
      <c r="D27" s="8"/>
      <c r="E27" s="8"/>
      <c r="F27" s="8"/>
      <c r="G27" s="8"/>
      <c r="H27" s="8"/>
      <c r="I27" s="8"/>
      <c r="J27" s="77"/>
      <c r="K27" s="78" t="s">
        <v>54</v>
      </c>
      <c r="L27" s="79" t="s">
        <v>55</v>
      </c>
      <c r="M27" s="80" t="s">
        <v>56</v>
      </c>
      <c r="N27" s="81"/>
      <c r="O27" s="82" t="s">
        <v>57</v>
      </c>
      <c r="P27" s="1"/>
    </row>
    <row r="28" ht="15.75" customHeight="1">
      <c r="A28" s="40"/>
      <c r="B28" s="83"/>
      <c r="J28" s="47"/>
      <c r="K28" s="84"/>
      <c r="L28" s="85"/>
      <c r="M28" s="86"/>
      <c r="N28" s="87"/>
      <c r="O28" s="88"/>
      <c r="P28" s="1"/>
    </row>
    <row r="29" ht="15.75" customHeight="1">
      <c r="A29" s="40"/>
      <c r="B29" s="141"/>
      <c r="J29" s="47"/>
      <c r="K29" s="84"/>
      <c r="L29" s="85" t="b">
        <v>0</v>
      </c>
      <c r="M29" s="86"/>
      <c r="N29" s="142"/>
      <c r="O29" s="88"/>
      <c r="P29" s="40"/>
    </row>
    <row r="30" ht="15.75" customHeight="1">
      <c r="A30" s="40"/>
      <c r="B30" s="141"/>
      <c r="J30" s="47"/>
      <c r="K30" s="84"/>
      <c r="L30" s="143" t="b">
        <v>0</v>
      </c>
      <c r="M30" s="86"/>
      <c r="N30" s="142"/>
      <c r="O30" s="144"/>
      <c r="P30" s="40"/>
    </row>
    <row r="31" ht="15.75" customHeight="1">
      <c r="A31" s="40"/>
      <c r="B31" s="141"/>
      <c r="J31" s="47"/>
      <c r="K31" s="145"/>
      <c r="L31" s="143" t="b">
        <v>0</v>
      </c>
      <c r="M31" s="146"/>
      <c r="N31" s="142"/>
      <c r="O31" s="144"/>
      <c r="P31" s="40"/>
    </row>
    <row r="32" ht="15.75" customHeight="1">
      <c r="A32" s="40"/>
      <c r="B32" s="141"/>
      <c r="J32" s="47"/>
      <c r="K32" s="145"/>
      <c r="L32" s="85" t="b">
        <v>0</v>
      </c>
      <c r="M32" s="146"/>
      <c r="N32" s="142"/>
      <c r="O32" s="144"/>
      <c r="P32" s="40"/>
    </row>
    <row r="33" ht="15.75" customHeight="1">
      <c r="A33" s="40"/>
      <c r="B33" s="89"/>
      <c r="C33" s="16"/>
      <c r="D33" s="16"/>
      <c r="E33" s="16"/>
      <c r="F33" s="16"/>
      <c r="G33" s="16"/>
      <c r="H33" s="16"/>
      <c r="I33" s="16"/>
      <c r="J33" s="90"/>
      <c r="K33" s="91"/>
      <c r="L33" s="92" t="b">
        <v>0</v>
      </c>
      <c r="M33" s="93"/>
      <c r="N33" s="94"/>
      <c r="O33" s="95"/>
      <c r="P33" s="40"/>
    </row>
    <row r="34" ht="15.75" customHeight="1">
      <c r="A34" s="40"/>
      <c r="B34" s="96"/>
      <c r="C34" s="1"/>
      <c r="D34" s="1"/>
      <c r="E34" s="1"/>
      <c r="F34" s="1"/>
      <c r="G34" s="1"/>
      <c r="H34" s="1"/>
      <c r="I34" s="1"/>
      <c r="J34" s="101" t="s">
        <v>89</v>
      </c>
      <c r="K34" s="102"/>
      <c r="L34" s="1"/>
      <c r="M34" s="1"/>
      <c r="N34" s="97"/>
      <c r="O34" s="97"/>
      <c r="P34" s="40"/>
    </row>
    <row r="35" ht="15.75" customHeight="1">
      <c r="A35" s="40"/>
      <c r="B35" s="96"/>
      <c r="C35" s="100"/>
      <c r="D35" s="100"/>
      <c r="E35" s="100"/>
      <c r="F35" s="100"/>
      <c r="G35" s="100"/>
      <c r="H35" s="100"/>
      <c r="I35" s="100"/>
      <c r="J35" s="108" t="s">
        <v>63</v>
      </c>
      <c r="K35" s="109"/>
      <c r="L35" s="110"/>
      <c r="M35" s="111" t="s">
        <v>64</v>
      </c>
      <c r="N35" s="109"/>
      <c r="O35" s="102"/>
      <c r="P35" s="40"/>
    </row>
    <row r="36" ht="15.75" customHeight="1">
      <c r="A36" s="40"/>
      <c r="B36" s="19" t="s">
        <v>90</v>
      </c>
      <c r="C36" s="100"/>
      <c r="D36" s="100"/>
      <c r="E36" s="100"/>
      <c r="F36" s="100"/>
      <c r="G36" s="100"/>
      <c r="H36" s="100"/>
      <c r="I36" s="100"/>
      <c r="J36" s="117" t="str">
        <f t="array" ref="J36">GPA({K28:K33,M28:M33,O28:O33},1,2)</f>
        <v>Loading...</v>
      </c>
      <c r="K36" s="118"/>
      <c r="L36" s="110"/>
      <c r="M36" s="119" t="str">
        <f t="array" ref="M36">CREDITSSUM({K28:K33,M28:M33},1,2)</f>
        <v>Loading...</v>
      </c>
      <c r="N36" s="118"/>
      <c r="O36" s="120"/>
      <c r="P36" s="40"/>
    </row>
    <row r="37" ht="31.5" customHeight="1">
      <c r="A37" s="40"/>
      <c r="B37" s="76" t="s">
        <v>53</v>
      </c>
      <c r="C37" s="8"/>
      <c r="D37" s="8"/>
      <c r="E37" s="8"/>
      <c r="F37" s="8"/>
      <c r="G37" s="8"/>
      <c r="H37" s="8"/>
      <c r="I37" s="8"/>
      <c r="J37" s="77"/>
      <c r="K37" s="78" t="s">
        <v>54</v>
      </c>
      <c r="L37" s="79" t="s">
        <v>55</v>
      </c>
      <c r="M37" s="80" t="s">
        <v>56</v>
      </c>
      <c r="N37" s="81"/>
      <c r="O37" s="82" t="s">
        <v>57</v>
      </c>
      <c r="P37" s="1"/>
    </row>
    <row r="38" ht="15.75" customHeight="1">
      <c r="A38" s="40"/>
      <c r="B38" s="83"/>
      <c r="J38" s="47"/>
      <c r="K38" s="84"/>
      <c r="L38" s="85"/>
      <c r="M38" s="86"/>
      <c r="N38" s="87"/>
      <c r="O38" s="88"/>
      <c r="P38" s="1"/>
    </row>
    <row r="39" ht="15.75" customHeight="1">
      <c r="A39" s="40"/>
      <c r="B39" s="141"/>
      <c r="J39" s="47"/>
      <c r="K39" s="84"/>
      <c r="L39" s="85" t="b">
        <v>0</v>
      </c>
      <c r="M39" s="86"/>
      <c r="N39" s="142"/>
      <c r="O39" s="88"/>
      <c r="P39" s="40"/>
    </row>
    <row r="40" ht="15.75" customHeight="1">
      <c r="A40" s="40"/>
      <c r="B40" s="141"/>
      <c r="J40" s="47"/>
      <c r="K40" s="84"/>
      <c r="L40" s="143" t="b">
        <v>0</v>
      </c>
      <c r="M40" s="86"/>
      <c r="N40" s="142"/>
      <c r="O40" s="144"/>
      <c r="P40" s="40"/>
    </row>
    <row r="41" ht="15.75" customHeight="1">
      <c r="A41" s="40"/>
      <c r="B41" s="141"/>
      <c r="J41" s="47"/>
      <c r="K41" s="145"/>
      <c r="L41" s="143" t="b">
        <v>0</v>
      </c>
      <c r="M41" s="146"/>
      <c r="N41" s="142"/>
      <c r="O41" s="144"/>
      <c r="P41" s="40"/>
    </row>
    <row r="42" ht="15.75" customHeight="1">
      <c r="A42" s="40"/>
      <c r="B42" s="141"/>
      <c r="J42" s="47"/>
      <c r="K42" s="145"/>
      <c r="L42" s="85" t="b">
        <v>0</v>
      </c>
      <c r="M42" s="146"/>
      <c r="N42" s="142"/>
      <c r="O42" s="144"/>
      <c r="P42" s="40"/>
    </row>
    <row r="43" ht="15.75" customHeight="1">
      <c r="A43" s="40"/>
      <c r="B43" s="89"/>
      <c r="C43" s="16"/>
      <c r="D43" s="16"/>
      <c r="E43" s="16"/>
      <c r="F43" s="16"/>
      <c r="G43" s="16"/>
      <c r="H43" s="16"/>
      <c r="I43" s="16"/>
      <c r="J43" s="90"/>
      <c r="K43" s="91"/>
      <c r="L43" s="92" t="b">
        <v>0</v>
      </c>
      <c r="M43" s="93"/>
      <c r="N43" s="94"/>
      <c r="O43" s="95"/>
      <c r="P43" s="40"/>
    </row>
    <row r="44" ht="15.75" customHeight="1">
      <c r="A44" s="40"/>
      <c r="B44" s="96"/>
      <c r="C44" s="1"/>
      <c r="D44" s="1"/>
      <c r="E44" s="1"/>
      <c r="F44" s="1"/>
      <c r="G44" s="1"/>
      <c r="H44" s="1"/>
      <c r="I44" s="1"/>
      <c r="J44" s="101" t="s">
        <v>91</v>
      </c>
      <c r="K44" s="102"/>
      <c r="L44" s="1"/>
      <c r="M44" s="1"/>
      <c r="N44" s="97"/>
      <c r="O44" s="97"/>
      <c r="P44" s="40"/>
    </row>
    <row r="45" ht="15.75" customHeight="1">
      <c r="A45" s="40"/>
      <c r="B45" s="98" t="s">
        <v>58</v>
      </c>
      <c r="C45" s="99"/>
      <c r="D45" s="99"/>
      <c r="E45" s="99"/>
      <c r="F45" s="99"/>
      <c r="G45" s="99"/>
      <c r="H45" s="99"/>
      <c r="I45" s="100"/>
      <c r="J45" s="108" t="s">
        <v>63</v>
      </c>
      <c r="K45" s="109"/>
      <c r="L45" s="110"/>
      <c r="M45" s="111" t="s">
        <v>64</v>
      </c>
      <c r="N45" s="109"/>
      <c r="O45" s="102"/>
      <c r="P45" s="40"/>
    </row>
    <row r="46" ht="15.75" customHeight="1">
      <c r="A46" s="40"/>
      <c r="B46" s="103" t="s">
        <v>60</v>
      </c>
      <c r="C46" s="104" t="s">
        <v>61</v>
      </c>
      <c r="D46" s="105"/>
      <c r="E46" s="106"/>
      <c r="F46" s="104" t="s">
        <v>62</v>
      </c>
      <c r="G46" s="105"/>
      <c r="H46" s="107"/>
      <c r="I46" s="100"/>
      <c r="J46" s="117" t="str">
        <f t="array" ref="J46">GPA({K38:K43,M38:M43,O38:O43},1,2)</f>
        <v>Loading...</v>
      </c>
      <c r="K46" s="118"/>
      <c r="L46" s="110"/>
      <c r="M46" s="119" t="str">
        <f t="array" ref="M46">CREDITSSUM({K38:K43,M38:M43},1,2)</f>
        <v>Loading...</v>
      </c>
      <c r="N46" s="118"/>
      <c r="O46" s="120"/>
      <c r="P46" s="40"/>
    </row>
    <row r="47" ht="15.75" customHeight="1">
      <c r="A47" s="40"/>
      <c r="B47" s="112"/>
      <c r="C47" s="113" t="s">
        <v>65</v>
      </c>
      <c r="D47" s="114" t="s">
        <v>66</v>
      </c>
      <c r="E47" s="115" t="s">
        <v>67</v>
      </c>
      <c r="F47" s="113" t="s">
        <v>65</v>
      </c>
      <c r="G47" s="114" t="s">
        <v>66</v>
      </c>
      <c r="H47" s="116" t="s">
        <v>67</v>
      </c>
      <c r="I47" s="110"/>
      <c r="J47" s="1"/>
      <c r="K47" s="1"/>
      <c r="L47" s="1"/>
      <c r="M47" s="1"/>
      <c r="N47" s="1"/>
      <c r="O47" s="1"/>
      <c r="P47" s="40"/>
    </row>
    <row r="48" ht="15.75" customHeight="1">
      <c r="A48" s="40"/>
      <c r="B48" s="132" t="s">
        <v>68</v>
      </c>
      <c r="C48" s="122"/>
      <c r="D48" s="84"/>
      <c r="E48" s="123"/>
      <c r="F48" s="86"/>
      <c r="G48" s="84"/>
      <c r="H48" s="124"/>
      <c r="I48" s="110"/>
      <c r="J48" s="101" t="s">
        <v>59</v>
      </c>
      <c r="K48" s="102"/>
      <c r="L48" s="1"/>
      <c r="M48" s="1"/>
      <c r="N48" s="97"/>
      <c r="O48" s="97"/>
      <c r="P48" s="40"/>
    </row>
    <row r="49" ht="15.75" customHeight="1">
      <c r="A49" s="40"/>
      <c r="B49" s="132" t="s">
        <v>69</v>
      </c>
      <c r="C49" s="122"/>
      <c r="D49" s="84"/>
      <c r="E49" s="123"/>
      <c r="F49" s="86"/>
      <c r="G49" s="84"/>
      <c r="H49" s="124"/>
      <c r="I49" s="110"/>
      <c r="J49" s="108" t="s">
        <v>63</v>
      </c>
      <c r="K49" s="109"/>
      <c r="L49" s="110"/>
      <c r="M49" s="111" t="s">
        <v>64</v>
      </c>
      <c r="N49" s="109"/>
      <c r="O49" s="102"/>
      <c r="P49" s="40"/>
    </row>
    <row r="50" ht="15.75" customHeight="1">
      <c r="A50" s="40"/>
      <c r="B50" s="121" t="s">
        <v>70</v>
      </c>
      <c r="C50" s="122"/>
      <c r="D50" s="84"/>
      <c r="E50" s="123"/>
      <c r="F50" s="86"/>
      <c r="G50" s="84"/>
      <c r="H50" s="124"/>
      <c r="I50" s="110"/>
      <c r="J50" s="117" t="str">
        <f t="array" ref="J50">GPA({K8:K13,M8:M13,O8:O13;K18:K23,M18:M23,O18:O23;K28:K33,M28:M33,O28:O33;K38:K43,M38:M43,O38:O43},1,2)</f>
        <v>Loading...</v>
      </c>
      <c r="K50" s="118"/>
      <c r="L50" s="110"/>
      <c r="M50" s="119" t="str">
        <f t="array" ref="M50">CREDITSSUM({K8:K13,M8:M13;K18:K23,M18:M23;K28:K33,M28:M33;K38:K43,M38:M43},1,2)</f>
        <v>Loading...</v>
      </c>
      <c r="N50" s="118"/>
      <c r="O50" s="120"/>
      <c r="P50" s="40"/>
    </row>
    <row r="51" ht="15.75" customHeight="1">
      <c r="A51" s="40"/>
      <c r="B51" s="125" t="s">
        <v>71</v>
      </c>
      <c r="C51" s="126"/>
      <c r="D51" s="127"/>
      <c r="E51" s="128"/>
      <c r="F51" s="129"/>
      <c r="G51" s="127"/>
      <c r="H51" s="130"/>
      <c r="I51" s="97"/>
      <c r="J51" s="97"/>
      <c r="K51" s="97"/>
      <c r="L51" s="131"/>
      <c r="M51" s="97"/>
      <c r="N51" s="97"/>
      <c r="O51" s="97"/>
      <c r="P51" s="40"/>
    </row>
    <row r="52" ht="15.75" customHeight="1">
      <c r="A52" s="40"/>
      <c r="B52" s="96"/>
      <c r="C52" s="97"/>
      <c r="D52" s="97"/>
      <c r="E52" s="97"/>
      <c r="F52" s="97"/>
      <c r="G52" s="97"/>
      <c r="H52" s="97"/>
      <c r="I52" s="97"/>
      <c r="J52" s="97"/>
      <c r="K52" s="97"/>
      <c r="L52" s="131"/>
      <c r="M52" s="97"/>
      <c r="N52" s="97"/>
      <c r="O52" s="97"/>
      <c r="P52" s="40"/>
    </row>
    <row r="53" ht="15.75" customHeight="1">
      <c r="A53" s="40"/>
      <c r="B53" s="96"/>
      <c r="C53" s="97"/>
      <c r="D53" s="97"/>
      <c r="E53" s="97"/>
      <c r="F53" s="97"/>
      <c r="G53" s="97"/>
      <c r="H53" s="97"/>
      <c r="I53" s="97"/>
      <c r="J53" s="97"/>
      <c r="K53" s="97"/>
      <c r="L53" s="131"/>
      <c r="M53" s="97"/>
      <c r="N53" s="97"/>
      <c r="O53" s="97"/>
      <c r="P53" s="40"/>
    </row>
  </sheetData>
  <mergeCells count="74">
    <mergeCell ref="B27:J27"/>
    <mergeCell ref="B28:J28"/>
    <mergeCell ref="B29:J29"/>
    <mergeCell ref="B30:J30"/>
    <mergeCell ref="B31:J31"/>
    <mergeCell ref="B32:J32"/>
    <mergeCell ref="B33:J33"/>
    <mergeCell ref="J44:K44"/>
    <mergeCell ref="J45:K45"/>
    <mergeCell ref="M45:O45"/>
    <mergeCell ref="M46:O46"/>
    <mergeCell ref="B37:J37"/>
    <mergeCell ref="B38:J38"/>
    <mergeCell ref="B39:J39"/>
    <mergeCell ref="B40:J40"/>
    <mergeCell ref="B41:J41"/>
    <mergeCell ref="B42:J42"/>
    <mergeCell ref="B43:J43"/>
    <mergeCell ref="M49:O49"/>
    <mergeCell ref="M50:O50"/>
    <mergeCell ref="B46:B47"/>
    <mergeCell ref="C46:E46"/>
    <mergeCell ref="F46:H46"/>
    <mergeCell ref="J46:K46"/>
    <mergeCell ref="J48:K48"/>
    <mergeCell ref="J49:K49"/>
    <mergeCell ref="J50:K50"/>
    <mergeCell ref="C1:H1"/>
    <mergeCell ref="I1:O1"/>
    <mergeCell ref="C2:E2"/>
    <mergeCell ref="F2:H2"/>
    <mergeCell ref="I2:J2"/>
    <mergeCell ref="K2:O2"/>
    <mergeCell ref="C3:E3"/>
    <mergeCell ref="K3:O3"/>
    <mergeCell ref="F3:H3"/>
    <mergeCell ref="I3:J3"/>
    <mergeCell ref="C4:E4"/>
    <mergeCell ref="F4:H4"/>
    <mergeCell ref="I4:J4"/>
    <mergeCell ref="K4:O4"/>
    <mergeCell ref="C5:E6"/>
    <mergeCell ref="K5:O6"/>
    <mergeCell ref="F5:H6"/>
    <mergeCell ref="I5:J6"/>
    <mergeCell ref="B7:J7"/>
    <mergeCell ref="B8:J8"/>
    <mergeCell ref="B9:J9"/>
    <mergeCell ref="B10:J10"/>
    <mergeCell ref="B11:J11"/>
    <mergeCell ref="B12:J12"/>
    <mergeCell ref="B13:J13"/>
    <mergeCell ref="J14:K14"/>
    <mergeCell ref="J15:K15"/>
    <mergeCell ref="M15:O15"/>
    <mergeCell ref="J16:K16"/>
    <mergeCell ref="M16:O16"/>
    <mergeCell ref="J24:K24"/>
    <mergeCell ref="J25:K25"/>
    <mergeCell ref="M25:O25"/>
    <mergeCell ref="J26:K26"/>
    <mergeCell ref="M26:O26"/>
    <mergeCell ref="B17:J17"/>
    <mergeCell ref="B18:J18"/>
    <mergeCell ref="B19:J19"/>
    <mergeCell ref="B20:J20"/>
    <mergeCell ref="B21:J21"/>
    <mergeCell ref="B22:J22"/>
    <mergeCell ref="B23:J23"/>
    <mergeCell ref="J34:K34"/>
    <mergeCell ref="J35:K35"/>
    <mergeCell ref="M35:O35"/>
    <mergeCell ref="J36:K36"/>
    <mergeCell ref="M36:O36"/>
  </mergeCells>
  <dataValidations>
    <dataValidation type="custom" allowBlank="1" showDropDown="1" showInputMessage="1" showErrorMessage="1" prompt="Enter a number" sqref="K8:K12 O8:O13 K18:K22 O18:O23 K28:K32 O28:O33 K38:K42 O38:O43">
      <formula1>ISNUMBER(K8)</formula1>
    </dataValidation>
    <dataValidation type="list" allowBlank="1" showInputMessage="1" showErrorMessage="1" prompt="Click and enter a valid scale from the list of items. The valid scales are Letter, 0-100, 0-4, and None" sqref="B3">
      <formula1>"Letter,0-4,0-100,None"</formula1>
    </dataValidation>
  </dataValidations>
  <printOptions gridLines="1" horizontalCentered="1"/>
  <pageMargins bottom="0.75" footer="0.0" header="0.0" left="0.7" right="0.7" top="0.75"/>
  <pageSetup fitToHeight="0" cellComments="atEnd" orientation="portrait" pageOrder="overThenDown"/>
  <drawing r:id="rId1"/>
</worksheet>
</file>